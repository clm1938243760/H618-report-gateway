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80" tabRatio="600" firstSheet="0" activeTab="0" autoFilterDateGrouping="1"/>
  </bookViews>
  <sheets>
    <sheet xmlns:r="http://schemas.openxmlformats.org/officeDocument/2006/relationships" name="成本总览" sheetId="1" state="visible" r:id="rId1"/>
    <sheet xmlns:r="http://schemas.openxmlformats.org/officeDocument/2006/relationships" name="典型BOM" sheetId="2" state="visible" r:id="rId2"/>
    <sheet xmlns:r="http://schemas.openxmlformats.org/officeDocument/2006/relationships" name="假设说明" sheetId="3" state="visible" r:id="rId3"/>
  </sheets>
  <definedNames>
    <definedName name="_xlnm.Print_Area" localSheetId="0">'成本总览'!$A$1:$F$19</definedName>
    <definedName name="_xlnm._FilterDatabase" localSheetId="1" hidden="1">'典型BOM'!$A$4:$I$26</definedName>
    <definedName name="_xlnm.Print_Area" localSheetId="1">'典型BOM'!$A$1:$I$26</definedName>
    <definedName name="_xlnm.Print_Area" localSheetId="2">'假设说明'!$A$1:$D$19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Carlito"/>
      <charset val="134"/>
      <sz val="11"/>
    </font>
    <font>
      <name val="Carlito"/>
      <charset val="134"/>
      <b val="1"/>
      <color rgb="FFFFFFFF"/>
      <sz val="16"/>
    </font>
    <font>
      <name val="Carlito"/>
      <charset val="134"/>
      <b val="1"/>
      <color rgb="FFFFFFFF"/>
      <sz val="11"/>
    </font>
    <font>
      <name val="Carlito"/>
      <charset val="134"/>
      <b val="1"/>
      <color rgb="FF17365D"/>
      <sz val="11"/>
    </font>
    <font>
      <name val="宋体"/>
      <charset val="134"/>
      <color rgb="FF1F4E78"/>
      <sz val="11"/>
    </font>
    <font>
      <name val="Carlito"/>
      <charset val="134"/>
      <color theme="1"/>
      <sz val="11"/>
    </font>
    <font>
      <name val="Carlito"/>
      <charset val="134"/>
      <color rgb="FF1F4E78"/>
      <sz val="11"/>
    </font>
    <font>
      <name val="宋体"/>
      <charset val="134"/>
      <sz val="11"/>
    </font>
    <font>
      <name val="Carlito"/>
      <charset val="134"/>
      <color rgb="FF7F6000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  <font>
      <name val="宋体"/>
      <charset val="134"/>
      <color rgb="FF000000"/>
      <sz val="1100"/>
    </font>
    <font>
      <name val="宋体"/>
      <charset val="134"/>
      <color rgb="FF1F4E78"/>
      <sz val="1100"/>
    </font>
    <font>
      <name val="Carlito"/>
      <charset val="134"/>
      <color rgb="FF1F4E78"/>
      <sz val="1100"/>
    </font>
  </fonts>
  <fills count="39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B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C7D6EA"/>
      </left>
      <right style="thin">
        <color rgb="FFC7D6EA"/>
      </right>
      <top style="thin">
        <color rgb="FFC7D6EA"/>
      </top>
      <bottom style="thin">
        <color rgb="FFC7D6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9" borderId="5" applyAlignment="1">
      <alignment vertical="center"/>
    </xf>
    <xf numFmtId="0" fontId="19" fillId="10" borderId="6" applyAlignment="1">
      <alignment vertical="center"/>
    </xf>
    <xf numFmtId="0" fontId="20" fillId="10" borderId="5" applyAlignment="1">
      <alignment vertical="center"/>
    </xf>
    <xf numFmtId="0" fontId="21" fillId="11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9" fillId="16" borderId="0" applyAlignment="1">
      <alignment vertical="center"/>
    </xf>
    <xf numFmtId="0" fontId="9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9" fillId="20" borderId="0" applyAlignment="1">
      <alignment vertical="center"/>
    </xf>
    <xf numFmtId="0" fontId="9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9" fillId="24" borderId="0" applyAlignment="1">
      <alignment vertical="center"/>
    </xf>
    <xf numFmtId="0" fontId="9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9" fillId="28" borderId="0" applyAlignment="1">
      <alignment vertical="center"/>
    </xf>
    <xf numFmtId="0" fontId="9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9" fillId="32" borderId="0" applyAlignment="1">
      <alignment vertical="center"/>
    </xf>
    <xf numFmtId="0" fontId="9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9" fillId="36" borderId="0" applyAlignment="1">
      <alignment vertical="center"/>
    </xf>
    <xf numFmtId="0" fontId="9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24">
    <xf numFmtId="0" fontId="0" fillId="0" borderId="0" pivotButton="0" quotePrefix="0" xfId="49"/>
    <xf numFmtId="0" fontId="1" fillId="2" borderId="0" pivotButton="0" quotePrefix="0" xfId="49"/>
    <xf numFmtId="0" fontId="2" fillId="3" borderId="1" applyAlignment="1" pivotButton="0" quotePrefix="0" xfId="49">
      <alignment wrapText="1"/>
    </xf>
    <xf numFmtId="0" fontId="0" fillId="0" borderId="1" applyAlignment="1" pivotButton="0" quotePrefix="0" xfId="49">
      <alignment wrapText="1"/>
    </xf>
    <xf numFmtId="0" fontId="3" fillId="4" borderId="0" pivotButton="0" quotePrefix="0" xfId="49"/>
    <xf numFmtId="0" fontId="4" fillId="5" borderId="0" applyAlignment="1" pivotButton="0" quotePrefix="0" xfId="49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0" fontId="6" fillId="5" borderId="0" applyAlignment="1" pivotButton="0" quotePrefix="0" xfId="49">
      <alignment wrapText="1"/>
    </xf>
    <xf numFmtId="3" fontId="0" fillId="0" borderId="1" applyAlignment="1" pivotButton="0" quotePrefix="0" xfId="49">
      <alignment wrapText="1"/>
    </xf>
    <xf numFmtId="0" fontId="0" fillId="6" borderId="1" applyAlignment="1" pivotButton="0" quotePrefix="0" xfId="49">
      <alignment wrapText="1"/>
    </xf>
    <xf numFmtId="3" fontId="0" fillId="6" borderId="1" applyAlignment="1" pivotButton="0" quotePrefix="0" xfId="49">
      <alignment wrapText="1"/>
    </xf>
    <xf numFmtId="164" fontId="0" fillId="6" borderId="1" applyAlignment="1" pivotButton="0" quotePrefix="0" xfId="49">
      <alignment wrapText="1"/>
    </xf>
    <xf numFmtId="0" fontId="7" fillId="0" borderId="1" applyAlignment="1" pivotButton="0" quotePrefix="0" xfId="49">
      <alignment wrapText="1"/>
    </xf>
    <xf numFmtId="0" fontId="8" fillId="7" borderId="0" applyAlignment="1" pivotButton="0" quotePrefix="0" xfId="49">
      <alignment wrapText="1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3" fontId="7" fillId="0" borderId="1" applyAlignment="1" pivotButton="0" quotePrefix="0" xfId="49">
      <alignment wrapText="1"/>
    </xf>
    <xf numFmtId="0" fontId="8" fillId="7" borderId="0" applyAlignment="1" pivotButton="0" quotePrefix="0" xfId="49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ypicalCostBomTable" displayName="TypicalCostBomTable" ref="A4:H26" headerRowCount="1" totalsRowShown="0">
  <tableColumns count="8">
    <tableColumn id="1" name="分类"/>
    <tableColumn id="2" name="物料/模块"/>
    <tableColumn id="3" name="建议型号/规格"/>
    <tableColumn id="4" name="数量"/>
    <tableColumn id="5" name="典型单价 RMB"/>
    <tableColumn id="6" name="典型小计 RMB"/>
    <tableColumn id="7" name="选型属性"/>
    <tableColumn id="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tabSelected="1" workbookViewId="0">
      <pane ySplit="3" topLeftCell="A4" activePane="bottomLeft" state="frozen"/>
      <selection pane="bottomLeft" activeCell="C14" sqref="C14"/>
    </sheetView>
  </sheetViews>
  <sheetFormatPr baseColWidth="8" defaultColWidth="9" defaultRowHeight="14"/>
  <cols>
    <col width="29" customWidth="1" style="20" min="1" max="1"/>
    <col width="17" customWidth="1" style="20" min="2" max="2"/>
    <col width="42" customWidth="1" style="20" min="3" max="3"/>
    <col width="44" customWidth="1" style="20" min="4" max="4"/>
    <col width="23" customWidth="1" style="20" min="5" max="5"/>
    <col width="15" customWidth="1" style="20" min="6" max="6"/>
  </cols>
  <sheetData>
    <row r="1" ht="20" customHeight="1" s="20">
      <c r="A1" s="1" t="inlineStr">
        <is>
          <t>RK3506B + 512MB + 2GB eMMC + 双频 WiFi 智能采集终端成本预估</t>
        </is>
      </c>
    </row>
    <row r="2">
      <c r="A2" s="13" t="inlineStr">
        <is>
          <t>口径：保留 100 台试产和 1000 台量产两档；包含有线网与 WiFi；PCBA 与整机分开；不含税、模具、认证、研发 NRE 和软件许可。</t>
        </is>
      </c>
    </row>
    <row r="3"/>
    <row r="4">
      <c r="A4" s="2" t="inlineStr">
        <is>
          <t>方案</t>
        </is>
      </c>
      <c r="B4" s="2" t="inlineStr">
        <is>
          <t>单台成本 RMB</t>
        </is>
      </c>
      <c r="C4" s="2" t="inlineStr">
        <is>
          <t>说明</t>
        </is>
      </c>
      <c r="E4" s="2" t="inlineStr">
        <is>
          <t>关键结论</t>
        </is>
      </c>
      <c r="F4" s="2" t="inlineStr">
        <is>
          <t>典型值</t>
        </is>
      </c>
    </row>
    <row r="5" ht="28" customHeight="1" s="20">
      <c r="A5" s="3" t="inlineStr">
        <is>
          <t>PCBA（100台试产）</t>
        </is>
      </c>
      <c r="B5" s="14">
        <f>SUM(典型BOM!$F$5:$F$23)</f>
        <v/>
      </c>
      <c r="C5" s="3" t="inlineStr">
        <is>
          <t>主板、接口、WiFi、电源、PCB、贴片和基础测试</t>
        </is>
      </c>
      <c r="E5" s="15" t="inlineStr">
        <is>
          <t>100台整机</t>
        </is>
      </c>
      <c r="F5" s="16">
        <f>B6</f>
        <v/>
      </c>
    </row>
    <row r="6">
      <c r="A6" s="3" t="inlineStr">
        <is>
          <t>整机（100台试产）</t>
        </is>
      </c>
      <c r="B6" s="14">
        <f>SUM(典型BOM!$F$5:$F$26)</f>
        <v/>
      </c>
      <c r="C6" s="3" t="inlineStr">
        <is>
          <t>PCBA + 简易外壳 + 5V电源/USB线 + 装配老化包装</t>
        </is>
      </c>
      <c r="E6" s="15" t="inlineStr">
        <is>
          <t>1000台整机</t>
        </is>
      </c>
      <c r="F6" s="16">
        <f>B8</f>
        <v/>
      </c>
    </row>
    <row r="7">
      <c r="A7" s="3" t="inlineStr">
        <is>
          <t>PCBA（1000台量产）</t>
        </is>
      </c>
      <c r="B7" s="14">
        <f>SUM(典型BOM!$H$5:$H$23)</f>
        <v/>
      </c>
      <c r="C7" s="3" t="inlineStr">
        <is>
          <t>按稳定供应链与批量制造的单台目标值</t>
        </is>
      </c>
      <c r="E7" s="15" t="inlineStr">
        <is>
          <t>WiFi子系统（100台）</t>
        </is>
      </c>
      <c r="F7" s="16">
        <f>SUM(典型BOM!F8:F9)+典型BOM!F13</f>
        <v/>
      </c>
    </row>
    <row r="8">
      <c r="A8" s="3" t="inlineStr">
        <is>
          <t>整机（1000台量产）</t>
        </is>
      </c>
      <c r="B8" s="14">
        <f>SUM(典型BOM!$H$5:$H$26)</f>
        <v/>
      </c>
      <c r="C8" s="3" t="inlineStr">
        <is>
          <t>不含模具摊销、税费、认证和售后备件</t>
        </is>
      </c>
      <c r="E8" s="15" t="inlineStr">
        <is>
          <t>主平台（100台）</t>
        </is>
      </c>
      <c r="F8" s="16">
        <f>SUM(典型BOM!F5:F7)</f>
        <v/>
      </c>
    </row>
    <row r="9"/>
    <row r="10">
      <c r="A10" s="2" t="inlineStr">
        <is>
          <t>成本拆分</t>
        </is>
      </c>
      <c r="B10" s="2" t="inlineStr">
        <is>
          <t>100台 RMB</t>
        </is>
      </c>
      <c r="C10" s="2" t="inlineStr">
        <is>
          <t>1000台 RMB</t>
        </is>
      </c>
    </row>
    <row r="11">
      <c r="A11" s="3" t="inlineStr">
        <is>
          <t>核心平台</t>
        </is>
      </c>
      <c r="B11" s="14">
        <f>SUM(典型BOM!F5:F7)</f>
        <v/>
      </c>
      <c r="C11" s="14">
        <f>SUM(典型BOM!H5:H7)</f>
        <v/>
      </c>
      <c r="D11" s="21" t="inlineStr">
        <is>
          <t>RK3506B + 512MB DDR3L + 2GB eMMC</t>
        </is>
      </c>
    </row>
    <row r="12">
      <c r="A12" s="3" t="inlineStr">
        <is>
          <t>WiFi</t>
        </is>
      </c>
      <c r="B12" s="14">
        <f>SUM(典型BOM!F8:F9)+典型BOM!F13</f>
        <v/>
      </c>
      <c r="C12" s="22">
        <f>SUM(典型BOM!H8:H9)+典型BOM!H13</f>
        <v/>
      </c>
      <c r="D12" s="21" t="inlineStr">
        <is>
          <t>双频 WiFi 5 模组、天线和 Host 供电/ESD</t>
        </is>
      </c>
    </row>
    <row r="13">
      <c r="A13" s="3" t="inlineStr">
        <is>
          <t>有线网络</t>
        </is>
      </c>
      <c r="B13" s="14">
        <f>SUM(典型BOM!F10:F11)</f>
        <v/>
      </c>
      <c r="C13" s="14">
        <f>SUM(典型BOM!H10:H11)</f>
        <v/>
      </c>
      <c r="D13" s="21" t="inlineStr">
        <is>
          <t>100M PHY + 带变压器 RJ45</t>
        </is>
      </c>
    </row>
    <row r="14">
      <c r="A14" s="3" t="inlineStr">
        <is>
          <t>USB Gadget</t>
        </is>
      </c>
      <c r="B14" s="14">
        <f>典型BOM!F12</f>
        <v/>
      </c>
      <c r="C14" s="14">
        <f>典型BOM!H12</f>
        <v/>
      </c>
      <c r="D14" s="21" t="inlineStr">
        <is>
          <t>MSC/Printer 专用 USB Device 接口及防倒灌</t>
        </is>
      </c>
    </row>
    <row r="15">
      <c r="A15" s="3" t="inlineStr">
        <is>
          <t>电源/基础器件</t>
        </is>
      </c>
      <c r="B15" s="14">
        <f>SUM(典型BOM!F14:F20)</f>
        <v/>
      </c>
      <c r="C15" s="14">
        <f>SUM(典型BOM!H14:H20)</f>
        <v/>
      </c>
      <c r="D15" s="21" t="inlineStr">
        <is>
          <t>电源、无源、RTC、状态件、接口保护和连接器</t>
        </is>
      </c>
    </row>
    <row r="16">
      <c r="A16" s="3" t="inlineStr">
        <is>
          <t>PCB/制造</t>
        </is>
      </c>
      <c r="B16" s="14">
        <f>SUM(典型BOM!F21:F23)</f>
        <v/>
      </c>
      <c r="C16" s="14">
        <f>SUM(典型BOM!H21:H23)</f>
        <v/>
      </c>
      <c r="D16" s="21" t="inlineStr">
        <is>
          <t>6层PCB、BGA贴片、X-Ray、测试和损耗</t>
        </is>
      </c>
    </row>
    <row r="17">
      <c r="A17" s="3" t="inlineStr">
        <is>
          <t>整机增量</t>
        </is>
      </c>
      <c r="B17" s="14">
        <f>SUM(典型BOM!F24:F26)</f>
        <v/>
      </c>
      <c r="C17" s="14">
        <f>SUM(典型BOM!H24:H26)</f>
        <v/>
      </c>
      <c r="D17" s="21" t="inlineStr">
        <is>
          <t>外壳、电源线材、装配老化和包装</t>
        </is>
      </c>
    </row>
    <row r="18"/>
    <row r="19" ht="42" customHeight="1" s="20">
      <c r="A19" s="23" t="inlineStr">
        <is>
          <t>注意：2GB eMMC 只适合精简 Linux、单 rootfs 和严格自动清理；若保留 512MB MSC 镜像或缓存较多报告，建议改为 4GB/8GB。2GB 小容量料不一定比 8GB 更易采购。</t>
        </is>
      </c>
    </row>
  </sheetData>
  <mergeCells count="3">
    <mergeCell ref="A19:F19"/>
    <mergeCell ref="A1:F1"/>
    <mergeCell ref="A2:F2"/>
  </mergeCells>
  <pageMargins left="0.7" right="0.7" top="0.75" bottom="0.75" header="0.3" footer="0.3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:H1"/>
    </sheetView>
  </sheetViews>
  <sheetFormatPr baseColWidth="8" defaultColWidth="9" defaultRowHeight="14"/>
  <cols>
    <col width="13" customWidth="1" style="20" min="1" max="1"/>
    <col width="23" customWidth="1" style="20" min="2" max="2"/>
    <col width="40" customWidth="1" style="20" min="3" max="3"/>
    <col width="9" customWidth="1" style="20" min="4" max="6"/>
    <col width="14" customWidth="1" style="20" min="5" max="5"/>
    <col width="14" customWidth="1" style="20" min="6" max="6"/>
    <col width="15" customWidth="1" style="20" min="7" max="7"/>
    <col width="15" customWidth="1" style="20" min="8" max="8"/>
    <col width="48" customWidth="1" style="20" min="9" max="9"/>
  </cols>
  <sheetData>
    <row r="1" ht="24" customHeight="1" s="20">
      <c r="A1" s="1" t="inlineStr">
        <is>
          <t>RK3506B + 512MB + 2GB eMMC + 双频 WiFi 智能采集终端 BOM 成本</t>
        </is>
      </c>
    </row>
    <row r="2" ht="34" customHeight="1" s="20">
      <c r="A2" s="5" t="inlineStr">
        <is>
          <t>价格单位：人民币元；100台/1000台均为工程估算，不是锁价报价；基础方案保留 100M Ethernet、双频 WiFi 和 USB MSC/Printer Gadget。</t>
        </is>
      </c>
    </row>
    <row r="3"/>
    <row r="4">
      <c r="A4" s="6" t="inlineStr">
        <is>
          <t>分类</t>
        </is>
      </c>
      <c r="B4" s="6" t="inlineStr">
        <is>
          <t>物料/模块</t>
        </is>
      </c>
      <c r="C4" s="6" t="inlineStr">
        <is>
          <t>建议型号/规格</t>
        </is>
      </c>
      <c r="D4" s="6" t="inlineStr">
        <is>
          <t>数量</t>
        </is>
      </c>
      <c r="E4" s="6" t="inlineStr">
        <is>
          <t>100台单价</t>
        </is>
      </c>
      <c r="F4" s="6" t="inlineStr">
        <is>
          <t>100台小计</t>
        </is>
      </c>
      <c r="G4" s="6" t="inlineStr">
        <is>
          <t>1000台单价</t>
        </is>
      </c>
      <c r="H4" s="6" t="inlineStr">
        <is>
          <t>1000台小计</t>
        </is>
      </c>
      <c r="I4" s="6" t="inlineStr">
        <is>
          <t>备注</t>
        </is>
      </c>
    </row>
    <row r="5" ht="36" customHeight="1" s="20">
      <c r="A5" s="10" t="inlineStr">
        <is>
          <t>核心平台</t>
        </is>
      </c>
      <c r="B5" s="10" t="inlineStr">
        <is>
          <t>主控 SoC</t>
        </is>
      </c>
      <c r="C5" s="21" t="inlineStr">
        <is>
          <t>Rockchip RK3506B / FBGA-333</t>
        </is>
      </c>
      <c r="D5" s="12" t="n">
        <v>1</v>
      </c>
      <c r="E5" s="12" t="n">
        <v>21</v>
      </c>
      <c r="F5" s="12">
        <f>D5*E5</f>
        <v/>
      </c>
      <c r="G5" s="12" t="n">
        <v>18</v>
      </c>
      <c r="H5" s="12">
        <f>D5*G5</f>
        <v/>
      </c>
      <c r="I5" s="21" t="inlineStr">
        <is>
          <t>公开预订参考价约20.91元；量产以代理正式报价为准</t>
        </is>
      </c>
    </row>
    <row r="6" ht="36" customHeight="1" s="20">
      <c r="A6" s="10" t="inlineStr">
        <is>
          <t>内存</t>
        </is>
      </c>
      <c r="B6" s="10" t="inlineStr">
        <is>
          <t>DDR3L</t>
        </is>
      </c>
      <c r="C6" s="21" t="inlineStr">
        <is>
          <t>512MB DDR3L，16-bit</t>
        </is>
      </c>
      <c r="D6" s="12" t="n">
        <v>1</v>
      </c>
      <c r="E6" s="12" t="n">
        <v>18</v>
      </c>
      <c r="F6" s="12">
        <f>D6*E6</f>
        <v/>
      </c>
      <c r="G6" s="12" t="n">
        <v>12</v>
      </c>
      <c r="H6" s="12">
        <f>D6*G6</f>
        <v/>
      </c>
      <c r="I6" s="21" t="inlineStr">
        <is>
          <t>完整 Python + GhostPCL 的最低建议内存</t>
        </is>
      </c>
    </row>
    <row r="7" ht="36" customHeight="1" s="20">
      <c r="A7" s="10" t="inlineStr">
        <is>
          <t>存储</t>
        </is>
      </c>
      <c r="B7" s="10" t="inlineStr">
        <is>
          <t>eMMC</t>
        </is>
      </c>
      <c r="C7" s="21" t="inlineStr">
        <is>
          <t>2GB eMMC</t>
        </is>
      </c>
      <c r="D7" s="12" t="n">
        <v>1</v>
      </c>
      <c r="E7" s="12" t="n">
        <v>15</v>
      </c>
      <c r="F7" s="12">
        <f>D7*E7</f>
        <v/>
      </c>
      <c r="G7" s="12" t="n">
        <v>11</v>
      </c>
      <c r="H7" s="12">
        <f>D7*G7</f>
        <v/>
      </c>
      <c r="I7" s="21" t="inlineStr">
        <is>
          <t>低容量料需确认生命周期；同时询4GB/8GB报价</t>
        </is>
      </c>
    </row>
    <row r="8" ht="36" customHeight="1" s="20">
      <c r="A8" s="10" t="inlineStr">
        <is>
          <t>WiFi</t>
        </is>
      </c>
      <c r="B8" s="10" t="inlineStr">
        <is>
          <t>双频无线模组</t>
        </is>
      </c>
      <c r="C8" s="21" t="inlineStr">
        <is>
          <t>USB 2.0 WiFi 5，2.4G/5G，1T1R</t>
        </is>
      </c>
      <c r="D8" s="12" t="n">
        <v>1</v>
      </c>
      <c r="E8" s="12" t="n">
        <v>28</v>
      </c>
      <c r="F8" s="12">
        <f>D8*E8</f>
        <v/>
      </c>
      <c r="G8" s="12" t="n">
        <v>20</v>
      </c>
      <c r="H8" s="12">
        <f>D8*G8</f>
        <v/>
      </c>
      <c r="I8" s="21" t="inlineStr">
        <is>
          <t>选固定芯片和长期Linux驱动，不使用随机白牌网卡</t>
        </is>
      </c>
    </row>
    <row r="9" ht="36" customHeight="1" s="20">
      <c r="A9" s="10" t="inlineStr">
        <is>
          <t>WiFi</t>
        </is>
      </c>
      <c r="B9" s="10" t="inlineStr">
        <is>
          <t>天线/射频辅料</t>
        </is>
      </c>
      <c r="C9" s="21" t="inlineStr">
        <is>
          <t>IPEX/MHF4 双频天线 + 同轴线</t>
        </is>
      </c>
      <c r="D9" s="12" t="n">
        <v>1</v>
      </c>
      <c r="E9" s="12" t="n">
        <v>6</v>
      </c>
      <c r="F9" s="12">
        <f>D9*E9</f>
        <v/>
      </c>
      <c r="G9" s="12" t="n">
        <v>4</v>
      </c>
      <c r="H9" s="12">
        <f>D9*G9</f>
        <v/>
      </c>
      <c r="I9" s="21" t="inlineStr">
        <is>
          <t>最终外壳内做RSSI与EMC验证</t>
        </is>
      </c>
    </row>
    <row r="10" ht="36" customHeight="1" s="20">
      <c r="A10" s="10" t="inlineStr">
        <is>
          <t>有线网络</t>
        </is>
      </c>
      <c r="B10" s="10" t="inlineStr">
        <is>
          <t>以太网 PHY</t>
        </is>
      </c>
      <c r="C10" s="21" t="inlineStr">
        <is>
          <t>10/100M RMII PHY</t>
        </is>
      </c>
      <c r="D10" s="12" t="n">
        <v>1</v>
      </c>
      <c r="E10" s="12" t="n">
        <v>7</v>
      </c>
      <c r="F10" s="12">
        <f>D10*E10</f>
        <v/>
      </c>
      <c r="G10" s="12" t="n">
        <v>5</v>
      </c>
      <c r="H10" s="12">
        <f>D10*G10</f>
        <v/>
      </c>
      <c r="I10" s="21" t="inlineStr">
        <is>
          <t>Ethernet优先，WiFi作为移动部署和回退链路</t>
        </is>
      </c>
    </row>
    <row r="11" ht="36" customHeight="1" s="20">
      <c r="A11" s="10" t="inlineStr">
        <is>
          <t>有线网络</t>
        </is>
      </c>
      <c r="B11" s="10" t="inlineStr">
        <is>
          <t>RJ45 网络座</t>
        </is>
      </c>
      <c r="C11" s="21" t="inlineStr">
        <is>
          <t>10/100M 带网络变压器和指示灯</t>
        </is>
      </c>
      <c r="D11" s="12" t="n">
        <v>1</v>
      </c>
      <c r="E11" s="12" t="n">
        <v>8</v>
      </c>
      <c r="F11" s="12">
        <f>D11*E11</f>
        <v/>
      </c>
      <c r="G11" s="12" t="n">
        <v>6</v>
      </c>
      <c r="H11" s="12">
        <f>D11*G11</f>
        <v/>
      </c>
      <c r="I11" s="21" t="inlineStr">
        <is>
          <t>含基础网口器件，不含网线</t>
        </is>
      </c>
    </row>
    <row r="12" ht="36" customHeight="1" s="20">
      <c r="A12" s="10" t="inlineStr">
        <is>
          <t>USB Gadget</t>
        </is>
      </c>
      <c r="B12" s="10" t="inlineStr">
        <is>
          <t>Device接口与保护</t>
        </is>
      </c>
      <c r="C12" s="21" t="inlineStr">
        <is>
          <t>USB-C/B、ESD、CC/VBUS检测、防倒灌</t>
        </is>
      </c>
      <c r="D12" s="12" t="n">
        <v>1</v>
      </c>
      <c r="E12" s="12" t="n">
        <v>10</v>
      </c>
      <c r="F12" s="12">
        <f>D12*E12</f>
        <v/>
      </c>
      <c r="G12" s="12" t="n">
        <v>7</v>
      </c>
      <c r="H12" s="12">
        <f>D12*G12</f>
        <v/>
      </c>
      <c r="I12" s="21" t="inlineStr">
        <is>
          <t>专用于MSC/Printer模式切换</t>
        </is>
      </c>
    </row>
    <row r="13" ht="36" customHeight="1" s="20">
      <c r="A13" s="10" t="inlineStr">
        <is>
          <t>WiFi</t>
        </is>
      </c>
      <c r="B13" s="10" t="inlineStr">
        <is>
          <t>USB Host供电/ESD</t>
        </is>
      </c>
      <c r="C13" s="21" t="inlineStr">
        <is>
          <t>第二路OTG Host、负载开关、ESD</t>
        </is>
      </c>
      <c r="D13" s="12" t="n">
        <v>1</v>
      </c>
      <c r="E13" s="12" t="n">
        <v>8</v>
      </c>
      <c r="F13" s="12">
        <f>D13*E13</f>
        <v/>
      </c>
      <c r="G13" s="12" t="n">
        <v>5</v>
      </c>
      <c r="H13" s="12">
        <f>D13*G13</f>
        <v/>
      </c>
      <c r="I13" s="21" t="inlineStr">
        <is>
          <t>WiFi与Gadget分开控制器；无需Hub时按本项估算</t>
        </is>
      </c>
    </row>
    <row r="14" ht="36" customHeight="1" s="20">
      <c r="A14" s="10" t="inlineStr">
        <is>
          <t>电源</t>
        </is>
      </c>
      <c r="B14" s="10" t="inlineStr">
        <is>
          <t>PMIC/DC-DC/LDO</t>
        </is>
      </c>
      <c r="C14" s="21" t="inlineStr">
        <is>
          <t>5V输入，DDR/Core/3.3V电源轨</t>
        </is>
      </c>
      <c r="D14" s="12" t="n">
        <v>1</v>
      </c>
      <c r="E14" s="12" t="n">
        <v>20</v>
      </c>
      <c r="F14" s="12">
        <f>D14*E14</f>
        <v/>
      </c>
      <c r="G14" s="12" t="n">
        <v>13</v>
      </c>
      <c r="H14" s="12">
        <f>D14*G14</f>
        <v/>
      </c>
      <c r="I14" s="21" t="inlineStr">
        <is>
          <t>含基础稳压滤波，不含外置5V适配器</t>
        </is>
      </c>
    </row>
    <row r="15" ht="36" customHeight="1" s="20">
      <c r="A15" s="10" t="inlineStr">
        <is>
          <t>基础器件</t>
        </is>
      </c>
      <c r="B15" s="10" t="inlineStr">
        <is>
          <t>晶振/无源器件</t>
        </is>
      </c>
      <c r="C15" s="21" t="inlineStr">
        <is>
          <t>时钟、电阻、电容、电感及去耦</t>
        </is>
      </c>
      <c r="D15" s="12" t="n">
        <v>1</v>
      </c>
      <c r="E15" s="12" t="n">
        <v>15</v>
      </c>
      <c r="F15" s="12">
        <f>D15*E15</f>
        <v/>
      </c>
      <c r="G15" s="12" t="n">
        <v>10</v>
      </c>
      <c r="H15" s="12">
        <f>D15*G15</f>
        <v/>
      </c>
      <c r="I15" s="21" t="inlineStr">
        <is>
          <t>按直接SoC板工程中值</t>
        </is>
      </c>
    </row>
    <row r="16" ht="36" customHeight="1" s="20">
      <c r="A16" s="10" t="inlineStr">
        <is>
          <t>调试维护</t>
        </is>
      </c>
      <c r="B16" s="10" t="inlineStr">
        <is>
          <t>UART/烧录测试点</t>
        </is>
      </c>
      <c r="C16" s="21" t="inlineStr">
        <is>
          <t>3.3V UART、Recovery、量产测试点</t>
        </is>
      </c>
      <c r="D16" s="12" t="n">
        <v>1</v>
      </c>
      <c r="E16" s="12" t="n">
        <v>4</v>
      </c>
      <c r="F16" s="12">
        <f>D16*E16</f>
        <v/>
      </c>
      <c r="G16" s="12" t="n">
        <v>2</v>
      </c>
      <c r="H16" s="12">
        <f>D16*G16</f>
        <v/>
      </c>
      <c r="I16" s="21" t="inlineStr">
        <is>
          <t>量产可只保留焊盘</t>
        </is>
      </c>
    </row>
    <row r="17" ht="36" customHeight="1" s="20">
      <c r="A17" s="10" t="inlineStr">
        <is>
          <t>人机交互</t>
        </is>
      </c>
      <c r="B17" s="10" t="inlineStr">
        <is>
          <t>按键/LED</t>
        </is>
      </c>
      <c r="C17" s="21" t="inlineStr">
        <is>
          <t>复位、功能键、网络/USB/错误状态灯</t>
        </is>
      </c>
      <c r="D17" s="12" t="n">
        <v>1</v>
      </c>
      <c r="E17" s="12" t="n">
        <v>4</v>
      </c>
      <c r="F17" s="12">
        <f>D17*E17</f>
        <v/>
      </c>
      <c r="G17" s="12" t="n">
        <v>3</v>
      </c>
      <c r="H17" s="12">
        <f>D17*G17</f>
        <v/>
      </c>
      <c r="I17" s="21" t="inlineStr">
        <is>
          <t>不含显示屏</t>
        </is>
      </c>
    </row>
    <row r="18" ht="36" customHeight="1" s="20">
      <c r="A18" s="10" t="inlineStr">
        <is>
          <t>时钟备份</t>
        </is>
      </c>
      <c r="B18" s="10" t="inlineStr">
        <is>
          <t>RTC备份</t>
        </is>
      </c>
      <c r="C18" s="21" t="inlineStr">
        <is>
          <t>纽扣电池座或超级电容</t>
        </is>
      </c>
      <c r="D18" s="12" t="n">
        <v>1</v>
      </c>
      <c r="E18" s="12" t="n">
        <v>4</v>
      </c>
      <c r="F18" s="12">
        <f>D18*E18</f>
        <v/>
      </c>
      <c r="G18" s="12" t="n">
        <v>3</v>
      </c>
      <c r="H18" s="12">
        <f>D18*G18</f>
        <v/>
      </c>
      <c r="I18" s="21" t="inlineStr">
        <is>
          <t>稳定联网时可评估取消</t>
        </is>
      </c>
    </row>
    <row r="19" ht="36" customHeight="1" s="20">
      <c r="A19" s="10" t="inlineStr">
        <is>
          <t>保护</t>
        </is>
      </c>
      <c r="B19" s="10" t="inlineStr">
        <is>
          <t>电源输入保护</t>
        </is>
      </c>
      <c r="C19" s="21" t="inlineStr">
        <is>
          <t>防反接、保险丝、TVS、浪涌抑制</t>
        </is>
      </c>
      <c r="D19" s="12" t="n">
        <v>1</v>
      </c>
      <c r="E19" s="12" t="n">
        <v>6</v>
      </c>
      <c r="F19" s="12">
        <f>D19*E19</f>
        <v/>
      </c>
      <c r="G19" s="12" t="n">
        <v>4</v>
      </c>
      <c r="H19" s="12">
        <f>D19*G19</f>
        <v/>
      </c>
      <c r="I19" s="21" t="inlineStr">
        <is>
          <t>医疗现场建议保留</t>
        </is>
      </c>
    </row>
    <row r="20" ht="36" customHeight="1" s="20">
      <c r="A20" s="10" t="inlineStr">
        <is>
          <t>结构连接</t>
        </is>
      </c>
      <c r="B20" s="10" t="inlineStr">
        <is>
          <t>连接器/线束</t>
        </is>
      </c>
      <c r="C20" s="21" t="inlineStr">
        <is>
          <t>电源、USB、RJ45、天线及内部连接件</t>
        </is>
      </c>
      <c r="D20" s="12" t="n">
        <v>1</v>
      </c>
      <c r="E20" s="12" t="n">
        <v>10</v>
      </c>
      <c r="F20" s="12">
        <f>D20*E20</f>
        <v/>
      </c>
      <c r="G20" s="12" t="n">
        <v>7</v>
      </c>
      <c r="H20" s="12">
        <f>D20*G20</f>
        <v/>
      </c>
      <c r="I20" s="21" t="inlineStr">
        <is>
          <t>不含外部USB数据线和电源适配器</t>
        </is>
      </c>
    </row>
    <row r="21" ht="36" customHeight="1" s="20">
      <c r="A21" s="10" t="inlineStr">
        <is>
          <t>制造</t>
        </is>
      </c>
      <c r="B21" s="10" t="inlineStr">
        <is>
          <t>PCB 6层板</t>
        </is>
      </c>
      <c r="C21" s="21" t="inlineStr">
        <is>
          <t>约85mm x 60mm，阻抗控制</t>
        </is>
      </c>
      <c r="D21" s="12" t="n">
        <v>1</v>
      </c>
      <c r="E21" s="12" t="n">
        <v>30</v>
      </c>
      <c r="F21" s="12">
        <f>D21*E21</f>
        <v/>
      </c>
      <c r="G21" s="12" t="n">
        <v>15</v>
      </c>
      <c r="H21" s="12">
        <f>D21*G21</f>
        <v/>
      </c>
      <c r="I21" s="21" t="inlineStr">
        <is>
          <t>DDR和USB差分线建议6层</t>
        </is>
      </c>
    </row>
    <row r="22" ht="36" customHeight="1" s="20">
      <c r="A22" s="10" t="inlineStr">
        <is>
          <t>制造</t>
        </is>
      </c>
      <c r="B22" s="10" t="inlineStr">
        <is>
          <t>SMT/BGA/X-Ray/测试</t>
        </is>
      </c>
      <c r="C22" s="21" t="inlineStr">
        <is>
          <t>贴片、插件、X-Ray、基础功能测试</t>
        </is>
      </c>
      <c r="D22" s="12" t="n">
        <v>1</v>
      </c>
      <c r="E22" s="12" t="n">
        <v>40</v>
      </c>
      <c r="F22" s="12">
        <f>D22*E22</f>
        <v/>
      </c>
      <c r="G22" s="12" t="n">
        <v>22</v>
      </c>
      <c r="H22" s="12">
        <f>D22*G22</f>
        <v/>
      </c>
      <c r="I22" s="21" t="inlineStr">
        <is>
          <t>不含专用自动化工装开发</t>
        </is>
      </c>
    </row>
    <row r="23" ht="36" customHeight="1" s="20">
      <c r="A23" s="10" t="inlineStr">
        <is>
          <t>辅料</t>
        </is>
      </c>
      <c r="B23" s="10" t="inlineStr">
        <is>
          <t>损耗与装配辅料</t>
        </is>
      </c>
      <c r="C23" s="21" t="inlineStr">
        <is>
          <t>焊锡、防静电、元件损耗和小辅料</t>
        </is>
      </c>
      <c r="D23" s="12" t="n">
        <v>1</v>
      </c>
      <c r="E23" s="12" t="n">
        <v>10</v>
      </c>
      <c r="F23" s="12">
        <f>D23*E23</f>
        <v/>
      </c>
      <c r="G23" s="12" t="n">
        <v>6</v>
      </c>
      <c r="H23" s="12">
        <f>D23*G23</f>
        <v/>
      </c>
      <c r="I23" s="21" t="inlineStr">
        <is>
          <t>按批量和良率复核</t>
        </is>
      </c>
    </row>
    <row r="24" ht="36" customHeight="1" s="20">
      <c r="A24" s="10" t="inlineStr">
        <is>
          <t>整机</t>
        </is>
      </c>
      <c r="B24" s="10" t="inlineStr">
        <is>
          <t>塑胶外壳</t>
        </is>
      </c>
      <c r="C24" s="21" t="inlineStr">
        <is>
          <t>无屏网关外壳</t>
        </is>
      </c>
      <c r="D24" s="12" t="n">
        <v>1</v>
      </c>
      <c r="E24" s="12" t="n">
        <v>30</v>
      </c>
      <c r="F24" s="12">
        <f>D24*E24</f>
        <v/>
      </c>
      <c r="G24" s="12" t="n">
        <v>15</v>
      </c>
      <c r="H24" s="12">
        <f>D24*G24</f>
        <v/>
      </c>
      <c r="I24" s="21" t="inlineStr">
        <is>
          <t>1000台价格不含模具摊销</t>
        </is>
      </c>
    </row>
    <row r="25" ht="36" customHeight="1" s="20">
      <c r="A25" s="10" t="inlineStr">
        <is>
          <t>整机</t>
        </is>
      </c>
      <c r="B25" s="10" t="inlineStr">
        <is>
          <t>5V电源与USB线</t>
        </is>
      </c>
      <c r="C25" s="21" t="inlineStr">
        <is>
          <t>5V/2A适配器 + Gadget数据线</t>
        </is>
      </c>
      <c r="D25" s="12" t="n">
        <v>1</v>
      </c>
      <c r="E25" s="12" t="n">
        <v>25</v>
      </c>
      <c r="F25" s="12">
        <f>D25*E25</f>
        <v/>
      </c>
      <c r="G25" s="12" t="n">
        <v>18</v>
      </c>
      <c r="H25" s="12">
        <f>D25*G25</f>
        <v/>
      </c>
      <c r="I25" s="21" t="inlineStr">
        <is>
          <t>普通安规电源；医疗级电源另计</t>
        </is>
      </c>
    </row>
    <row r="26" ht="36" customHeight="1" s="20">
      <c r="A26" s="10" t="inlineStr">
        <is>
          <t>整机</t>
        </is>
      </c>
      <c r="B26" s="10" t="inlineStr">
        <is>
          <t>装配/老化/包装</t>
        </is>
      </c>
      <c r="C26" s="21" t="inlineStr">
        <is>
          <t>整机装配、基础老化、包装</t>
        </is>
      </c>
      <c r="D26" s="12" t="n">
        <v>1</v>
      </c>
      <c r="E26" s="12" t="n">
        <v>28</v>
      </c>
      <c r="F26" s="12">
        <f>D26*E26</f>
        <v/>
      </c>
      <c r="G26" s="12" t="n">
        <v>16</v>
      </c>
      <c r="H26" s="12">
        <f>D26*G26</f>
        <v/>
      </c>
      <c r="I26" s="21" t="inlineStr">
        <is>
          <t>不含售后备件和物流</t>
        </is>
      </c>
    </row>
  </sheetData>
  <autoFilter ref="A4:I26"/>
  <mergeCells count="2">
    <mergeCell ref="A1:I1"/>
    <mergeCell ref="A2:I2"/>
  </mergeCells>
  <pageMargins left="0.7" right="0.7" top="0.75" bottom="0.75" header="0.3" footer="0.3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ColWidth="9" defaultRowHeight="14"/>
  <cols>
    <col width="20" customWidth="1" style="20" min="1" max="1"/>
    <col width="62" customWidth="1" style="20" min="2" max="2"/>
    <col width="36" customWidth="1" style="20" min="3" max="4"/>
    <col width="46" customWidth="1" style="20" min="4" max="4"/>
  </cols>
  <sheetData>
    <row r="1" ht="20" customHeight="1" s="20">
      <c r="A1" s="1" t="inlineStr">
        <is>
          <t>RK3506 成本估算假设和维护说明</t>
        </is>
      </c>
    </row>
    <row r="2"/>
    <row r="3">
      <c r="A3" s="2" t="inlineStr">
        <is>
          <t>项目</t>
        </is>
      </c>
      <c r="B3" s="2" t="inlineStr">
        <is>
          <t>内容</t>
        </is>
      </c>
      <c r="C3" s="2" t="inlineStr">
        <is>
          <t>影响</t>
        </is>
      </c>
      <c r="D3" s="2" t="inlineStr">
        <is>
          <t>维护建议</t>
        </is>
      </c>
    </row>
    <row r="4" ht="42" customHeight="1" s="20">
      <c r="A4" s="3" t="inlineStr">
        <is>
          <t>价格口径</t>
        </is>
      </c>
      <c r="B4" s="3" t="inlineStr">
        <is>
          <t>100台按小批量采购/打样中值，1000台按稳定供应链目标值。</t>
        </is>
      </c>
      <c r="C4" s="3" t="inlineStr">
        <is>
          <t>不是锁价报价，存储和模组价格会波动。</t>
        </is>
      </c>
      <c r="D4" s="3" t="inlineStr">
        <is>
          <t>立项后向两家以上供应商询价并替换BOM单价。</t>
        </is>
      </c>
    </row>
    <row r="5" ht="42" customHeight="1" s="20">
      <c r="A5" s="3" t="inlineStr">
        <is>
          <t>功能范围</t>
        </is>
      </c>
      <c r="B5" s="3" t="inlineStr">
        <is>
          <t>保留100M Ethernet、双频WiFi、USB MSC/Printer Gadget、HTTPS管理和报告上传。</t>
        </is>
      </c>
      <c r="C5" s="3" t="inlineStr">
        <is>
          <t>不是单纯Linux最小板，USB保护和制造测试不能省略。</t>
        </is>
      </c>
      <c r="D5" s="3" t="inlineStr">
        <is>
          <t>删减功能时同时更新BOM、原理图和验证清单。</t>
        </is>
      </c>
    </row>
    <row r="6" ht="42" customHeight="1" s="20">
      <c r="A6" s="3" t="inlineStr">
        <is>
          <t>内存</t>
        </is>
      </c>
      <c r="B6" s="3" t="inlineStr">
        <is>
          <t>512MB为当前Python、SQLite、Pillow和单任务GhostPCL的最低建议值。</t>
        </is>
      </c>
      <c r="C6" s="3" t="inlineStr">
        <is>
          <t>并行转换或大页PCL可能出现内存压力。</t>
        </is>
      </c>
      <c r="D6" s="3" t="inlineStr">
        <is>
          <t>限制为单转换worker，记录峰值RSS；不足时改1GB。</t>
        </is>
      </c>
    </row>
    <row r="7" ht="42" customHeight="1" s="20">
      <c r="A7" s="3" t="inlineStr">
        <is>
          <t>2GB eMMC</t>
        </is>
      </c>
      <c r="B7" s="3" t="inlineStr">
        <is>
          <t>按精简Linux、单rootfs、无桌面、严格日志/报告清理估算。</t>
        </is>
      </c>
      <c r="C7" s="3" t="inlineStr">
        <is>
          <t>若MSC镜像为512MB，剩余报告缓存和升级空间很小。</t>
        </is>
      </c>
      <c r="D7" s="3" t="inlineStr">
        <is>
          <t>优先把MSC镜像降到256MB；同时询4GB/8GB价格。</t>
        </is>
      </c>
    </row>
    <row r="8" ht="42" customHeight="1" s="20">
      <c r="A8" s="3" t="inlineStr">
        <is>
          <t>WiFi</t>
        </is>
      </c>
      <c r="B8" s="3" t="inlineStr">
        <is>
          <t>双频WiFi 5通过RK3506第二路USB OTG/Host连接，第一路专用于Gadget。</t>
        </is>
      </c>
      <c r="C8" s="3" t="inlineStr">
        <is>
          <t>避免无线重连影响MSC/Printer重新枚举。</t>
        </is>
      </c>
      <c r="D8" s="3" t="inlineStr">
        <is>
          <t>冻结模组芯片、驱动和固件，做弱信号/重连/EMC测试。</t>
        </is>
      </c>
    </row>
    <row r="9" ht="42" customHeight="1" s="20">
      <c r="A9" s="3" t="inlineStr">
        <is>
          <t>网络策略</t>
        </is>
      </c>
      <c r="B9" s="3" t="inlineStr">
        <is>
          <t>Ethernet优先，WiFi回退；两条链路都支持DHCP，配置可选静态IP。</t>
        </is>
      </c>
      <c r="C9" s="3" t="inlineStr">
        <is>
          <t>网络切换时上传任务必须持久化。</t>
        </is>
      </c>
      <c r="D9" s="3" t="inlineStr">
        <is>
          <t>做拔网线、AP重启和断网恢复测试。</t>
        </is>
      </c>
    </row>
    <row r="10" ht="42" customHeight="1" s="20">
      <c r="A10" s="3" t="inlineStr">
        <is>
          <t>不包含项</t>
        </is>
      </c>
      <c r="B10" s="3" t="inlineStr">
        <is>
          <t>税费、物流、模具、认证、医疗级隔离/电源、GhostPDL商业许可、研发NRE、服务器费用。</t>
        </is>
      </c>
      <c r="C10" s="3" t="inlineStr">
        <is>
          <t>这些费用会影响项目总投入和销售成本。</t>
        </is>
      </c>
      <c r="D10" s="3" t="inlineStr">
        <is>
          <t>项目立项时另建NRE和认证费用表。</t>
        </is>
      </c>
    </row>
    <row r="11" ht="42" customHeight="1" s="20">
      <c r="A11" s="3" t="inlineStr">
        <is>
          <t>制造成本</t>
        </is>
      </c>
      <c r="B11" s="3" t="inlineStr">
        <is>
          <t>PCB、BGA贴片、X-Ray和测试按当前数量级工程中值估算。</t>
        </is>
      </c>
      <c r="C11" s="3" t="inlineStr">
        <is>
          <t>板层、尺寸、良率和工装会改变单价。</t>
        </is>
      </c>
      <c r="D11" s="3" t="inlineStr">
        <is>
          <t>Gerber/BOM冻结后向PCBA厂重新报价。</t>
        </is>
      </c>
    </row>
    <row r="12" ht="42" customHeight="1" s="20">
      <c r="A12" s="3" t="inlineStr">
        <is>
          <t>维护方式</t>
        </is>
      </c>
      <c r="B12" s="3" t="inlineStr">
        <is>
          <t>在典型BOM中修改100台/1000台单价，总览公式自动更新。</t>
        </is>
      </c>
      <c r="C12" s="3" t="inlineStr">
        <is>
          <t>便于后续比较2GB、4GB、8GB和不同WiFi模组。</t>
        </is>
      </c>
      <c r="D12" s="3" t="inlineStr">
        <is>
          <t>不要手工覆盖成本总览中的公式。</t>
        </is>
      </c>
    </row>
    <row r="13"/>
    <row r="14">
      <c r="A14" s="4" t="inlineStr">
        <is>
          <t>器件资料页（用于确认定位和公开参考价，不是量产采购报价）</t>
        </is>
      </c>
    </row>
    <row r="15">
      <c r="A15" s="2" t="inlineStr">
        <is>
          <t>器件</t>
        </is>
      </c>
      <c r="B15" s="2" t="inlineStr">
        <is>
          <t>资料页 URL</t>
        </is>
      </c>
      <c r="C15" s="2" t="inlineStr">
        <is>
          <t>用途</t>
        </is>
      </c>
      <c r="D15" s="2" t="inlineStr">
        <is>
          <t>说明</t>
        </is>
      </c>
    </row>
    <row r="16" ht="34" customHeight="1" s="20">
      <c r="A16" s="3" t="inlineStr">
        <is>
          <t>RK3506 官方页</t>
        </is>
      </c>
      <c r="B16" s="3" t="inlineStr">
        <is>
          <t>https://www.rock-chips.com/a/en/products/RK35_Series/2025/1208/2126.html</t>
        </is>
      </c>
      <c r="C16" s="3" t="inlineStr">
        <is>
          <t>SoC规格</t>
        </is>
      </c>
      <c r="D16" s="3" t="inlineStr">
        <is>
          <t>确认三核A7、双USB OTG和外置DDR接口</t>
        </is>
      </c>
    </row>
    <row r="17" ht="34" customHeight="1" s="20">
      <c r="A17" s="3" t="inlineStr">
        <is>
          <t>RK3506B 价格页</t>
        </is>
      </c>
      <c r="B17" s="3" t="inlineStr">
        <is>
          <t>https://www.jlc-smt.com/lcsc/detail/C48642328.html</t>
        </is>
      </c>
      <c r="C17" s="3" t="inlineStr">
        <is>
          <t>公开价格参考</t>
        </is>
      </c>
      <c r="D17" s="3" t="inlineStr">
        <is>
          <t>2026-07-16页面预订参考价20.91元/PCS，库存和量产价另询</t>
        </is>
      </c>
    </row>
    <row r="18" ht="34" customHeight="1" s="20">
      <c r="A18" s="3" t="inlineStr">
        <is>
          <t>Core3506</t>
        </is>
      </c>
      <c r="B18" s="3" t="inlineStr">
        <is>
          <t>https://www.waveshare.com/product/core3506.htm</t>
        </is>
      </c>
      <c r="C18" s="3" t="inlineStr">
        <is>
          <t>核心板参考</t>
        </is>
      </c>
      <c r="D18" s="3" t="inlineStr">
        <is>
          <t>确认512MB DDR3L、双USB OTG和8GB eMMC选项</t>
        </is>
      </c>
    </row>
    <row r="19" ht="34" customHeight="1" s="20">
      <c r="A19" s="3" t="inlineStr">
        <is>
          <t>项目设计规格</t>
        </is>
      </c>
      <c r="B19" s="3" t="inlineStr">
        <is>
          <t>docs/RK3506_VS_T113_REPORT_GATEWAY.md</t>
        </is>
      </c>
      <c r="C19" s="3" t="inlineStr">
        <is>
          <t>本项目架构</t>
        </is>
      </c>
      <c r="D19" s="3" t="inlineStr">
        <is>
          <t>确认WiFi、USB Gadget和成本口径</t>
        </is>
      </c>
    </row>
  </sheetData>
  <mergeCells count="2">
    <mergeCell ref="A1:D1"/>
    <mergeCell ref="A14:D1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聚垒科技</dc:creator>
  <dc:title xmlns:dc="http://purl.org/dc/elements/1.1/">RK3506 512MB+2GB+WiFi 智能采集终端成本核算</dc:title>
  <dc:subject xmlns:dc="http://purl.org/dc/elements/1.1/">RK3506 USB MSC/Printer 报告网关工程成本估算</dc:subject>
  <dcterms:created xmlns:dcterms="http://purl.org/dc/terms/" xmlns:xsi="http://www.w3.org/2001/XMLSchema-instance" xsi:type="dcterms:W3CDTF">2026-07-16T03:51:10Z</dcterms:created>
  <dcterms:modified xmlns:dcterms="http://purl.org/dc/terms/" xmlns:xsi="http://www.w3.org/2001/XMLSchema-instance" xsi:type="dcterms:W3CDTF">2026-07-16T04:20:02Z</dcterms:modified>
  <cp:lastModifiedBy>远天明月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FEEE3D51B7594FA981028941BA0306CB_12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