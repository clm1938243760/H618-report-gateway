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080" windowHeight="5145" activeTab="2"/>
  </bookViews>
  <sheets>
    <sheet name="成本总览" sheetId="1" r:id="rId1"/>
    <sheet name="方案对比" sheetId="2" r:id="rId2"/>
    <sheet name="典型BOM" sheetId="3" r:id="rId3"/>
    <sheet name="假设说明" sheetId="4" r:id="rId4"/>
  </sheets>
  <definedNames>
    <definedName name="_xlnm._FilterDatabase" localSheetId="2" hidden="1">典型BOM!$A$4:$I$32</definedName>
    <definedName name="_xlnm.Print_Area" localSheetId="0">成本总览!$A$1:$F$19</definedName>
    <definedName name="_xlnm.Print_Area" localSheetId="1">方案对比!$A$1:$F$22</definedName>
    <definedName name="_xlnm.Print_Area" localSheetId="2">典型BOM!$A$1:$I$32</definedName>
    <definedName name="_xlnm.Print_Area" localSheetId="3">假设说明!$A$1:$D$19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<sst xmlns="http://schemas.openxmlformats.org/spreadsheetml/2006/main" count="281" uniqueCount="254">
  <si>
    <t>RK3506B + 512MB + 2GB eMMC + 双频 WiFi 智能采集终端成本预估</t>
  </si>
  <si>
    <t>口径：保留 100 台试产和 1000 台量产两档；包含有线网与 WiFi；PCBA 与整机分开；不含税、模具、认证、研发 NRE 和软件许可。</t>
  </si>
  <si>
    <t>方案</t>
  </si>
  <si>
    <t>单台成本 RMB</t>
  </si>
  <si>
    <t>说明</t>
  </si>
  <si>
    <t>关键结论</t>
  </si>
  <si>
    <t>典型值</t>
  </si>
  <si>
    <t>PCBA（100台试产）</t>
  </si>
  <si>
    <t>主板、接口、WiFi、电源、PCB、贴片和基础测试</t>
  </si>
  <si>
    <t>100台整机</t>
  </si>
  <si>
    <t>整机（100台试产）</t>
  </si>
  <si>
    <t>PCBA + 简易外壳 + 5V电源/USB线 + 装配老化包装</t>
  </si>
  <si>
    <t>1000台整机</t>
  </si>
  <si>
    <t>PCBA（1000台量产）</t>
  </si>
  <si>
    <t>按稳定供应链与批量制造的单台目标值</t>
  </si>
  <si>
    <t>推荐8GB+OLED（100台）</t>
  </si>
  <si>
    <t>整机（1000台量产）</t>
  </si>
  <si>
    <t>不含模具摊销、税费、认证和售后备件</t>
  </si>
  <si>
    <t>推荐8GB+OLED（1000台）</t>
  </si>
  <si>
    <t>成本拆分</t>
  </si>
  <si>
    <t>100台 RMB</t>
  </si>
  <si>
    <t>1000台 RMB</t>
  </si>
  <si>
    <t>核心平台</t>
  </si>
  <si>
    <t>RK3506B + 512MB DDR3L + 2GB eMMC</t>
  </si>
  <si>
    <t>WiFi</t>
  </si>
  <si>
    <t>双频 WiFi 5 模组、天线和 Host 供电/ESD</t>
  </si>
  <si>
    <t>有线网络</t>
  </si>
  <si>
    <t>100M PHY + 带变压器 RJ45</t>
  </si>
  <si>
    <t>USB Gadget</t>
  </si>
  <si>
    <t>MSC/Printer 专用 USB Device 接口及防倒灌</t>
  </si>
  <si>
    <t>电源/基础器件</t>
  </si>
  <si>
    <t>电源、无源、RTC、状态件、接口保护和连接器</t>
  </si>
  <si>
    <t>PCB/制造</t>
  </si>
  <si>
    <t>6层PCB、BGA贴片、X-Ray、测试和损耗</t>
  </si>
  <si>
    <t>整机增量</t>
  </si>
  <si>
    <t>外壳、电源线材、装配老化和包装</t>
  </si>
  <si>
    <t>注意：2GB eMMC 只适合精简 Linux、单 rootfs 和严格自动清理；若保留 512MB MSC 镜像或缓存较多报告，建议改为 4GB/8GB。2GB 小容量料不一定比 8GB 更易采购。</t>
  </si>
  <si>
    <t>RK3506 eMMC 容量与约1寸小屏方案成本对比</t>
  </si>
  <si>
    <t>基线：RK3506B + 512MB DDR3L + 2GB eMMC + Ethernet + 双频WiFi；以下均为单台整机工程估算。</t>
  </si>
  <si>
    <t>组合方案</t>
  </si>
  <si>
    <t>100台增量</t>
  </si>
  <si>
    <t>1000台增量</t>
  </si>
  <si>
    <t>建议</t>
  </si>
  <si>
    <t>2GB + 无屏</t>
  </si>
  <si>
    <t>仅适合极限降本，空间最紧</t>
  </si>
  <si>
    <t>2GB + 0.96寸OLED</t>
  </si>
  <si>
    <t>能用，但仍有存储风险</t>
  </si>
  <si>
    <t>4GB + 0.96寸OLED</t>
  </si>
  <si>
    <t>性价比方案</t>
  </si>
  <si>
    <t>8GB + 0.96寸OLED</t>
  </si>
  <si>
    <t>量产推荐</t>
  </si>
  <si>
    <t>2GB + 1.14寸IPS</t>
  </si>
  <si>
    <t>彩屏可用，存储仍紧</t>
  </si>
  <si>
    <t>4GB + 1.14寸IPS</t>
  </si>
  <si>
    <t>彩屏性价比方案</t>
  </si>
  <si>
    <t>8GB + 1.14寸IPS</t>
  </si>
  <si>
    <t>彩屏量产推荐</t>
  </si>
  <si>
    <t>eMMC容量</t>
  </si>
  <si>
    <t>100台单价</t>
  </si>
  <si>
    <t>1000台单价</t>
  </si>
  <si>
    <t>相对2GB差价</t>
  </si>
  <si>
    <t>工程判断</t>
  </si>
  <si>
    <t>2GB</t>
  </si>
  <si>
    <t>基线</t>
  </si>
  <si>
    <t>无A/B升级，512MB MSC镜像后缓存很小</t>
  </si>
  <si>
    <t>不建议长期量产</t>
  </si>
  <si>
    <t>4GB</t>
  </si>
  <si>
    <t>+3 / +2</t>
  </si>
  <si>
    <t>可保留更合理的系统和报告缓存</t>
  </si>
  <si>
    <t>最低建议</t>
  </si>
  <si>
    <t>8GB</t>
  </si>
  <si>
    <t>+9 / +6</t>
  </si>
  <si>
    <t>供货更常见，升级和日志余量明显更大</t>
  </si>
  <si>
    <t>推荐</t>
  </si>
  <si>
    <t>显示方案</t>
  </si>
  <si>
    <t>接口/分辨率</t>
  </si>
  <si>
    <t>适用场景</t>
  </si>
  <si>
    <t>0.96寸OLED</t>
  </si>
  <si>
    <t>I2C / 128x64 / 单色</t>
  </si>
  <si>
    <t>状态、IP、USB模式、上传结果</t>
  </si>
  <si>
    <t>1.14寸IPS</t>
  </si>
  <si>
    <t>SPI / 135x240 / 彩色</t>
  </si>
  <si>
    <t>图标、菜单、更多运行信息</t>
  </si>
  <si>
    <t>按UI需求选择</t>
  </si>
  <si>
    <t>结论：若只显示状态，0.96寸OLED最合适；eMMC从2GB升级到8GB仅增加约9元/6元，却显著降低容量和供货风险，因此推荐8GB + OLED。</t>
  </si>
  <si>
    <t>RK3506B + 512MB + 2GB eMMC + 双频 WiFi 智能采集终端 BOM 成本</t>
  </si>
  <si>
    <t>价格单位：人民币元；100台/1000台均为工程估算，不是锁价报价；基础方案保留 100M Ethernet、双频 WiFi 和 USB MSC/Printer Gadget。</t>
  </si>
  <si>
    <t>分类</t>
  </si>
  <si>
    <t>物料/模块</t>
  </si>
  <si>
    <t>建议型号/规格</t>
  </si>
  <si>
    <t>数量</t>
  </si>
  <si>
    <t>100台小计</t>
  </si>
  <si>
    <t>1000台小计</t>
  </si>
  <si>
    <t>备注</t>
  </si>
  <si>
    <t>主控 SoC</t>
  </si>
  <si>
    <t>Rockchip RK3506B / FBGA-333</t>
  </si>
  <si>
    <t>公开预订参考价约20.91元；量产以代理正式报价为准</t>
  </si>
  <si>
    <t>内存</t>
  </si>
  <si>
    <t>DDR3L</t>
  </si>
  <si>
    <t>512MB DDR3L，16-bit</t>
  </si>
  <si>
    <t>完整 Python + GhostPCL 的最低建议内存</t>
  </si>
  <si>
    <t>存储</t>
  </si>
  <si>
    <t>eMMC</t>
  </si>
  <si>
    <t>2GB eMMC</t>
  </si>
  <si>
    <t>低容量料需确认生命周期；同时询4GB/8GB报价</t>
  </si>
  <si>
    <t>双频无线模组</t>
  </si>
  <si>
    <t>USB 2.0 WiFi 5，2.4G/5G，1T1R</t>
  </si>
  <si>
    <t>选固定芯片和长期Linux驱动，不使用随机白牌网卡</t>
  </si>
  <si>
    <t>天线/射频辅料</t>
  </si>
  <si>
    <t>IPEX/MHF4 双频天线 + 同轴线</t>
  </si>
  <si>
    <t>最终外壳内做RSSI与EMC验证</t>
  </si>
  <si>
    <t>以太网 PHY</t>
  </si>
  <si>
    <t>10/100M RMII PHY</t>
  </si>
  <si>
    <t>Ethernet优先，WiFi作为移动部署和回退链路</t>
  </si>
  <si>
    <t>RJ45 网络座</t>
  </si>
  <si>
    <t>10/100M 带网络变压器和指示灯</t>
  </si>
  <si>
    <t>含基础网口器件，不含网线</t>
  </si>
  <si>
    <t>Device接口与保护</t>
  </si>
  <si>
    <t>USB-C/B、ESD、CC/VBUS检测、防倒灌</t>
  </si>
  <si>
    <t>专用于MSC/Printer模式切换</t>
  </si>
  <si>
    <t>USB Host供电/ESD</t>
  </si>
  <si>
    <t>第二路OTG Host、负载开关、ESD</t>
  </si>
  <si>
    <t>WiFi与Gadget分开控制器；无需Hub时按本项估算</t>
  </si>
  <si>
    <t>电源</t>
  </si>
  <si>
    <t>PMIC/DC-DC/LDO</t>
  </si>
  <si>
    <t>5V输入，DDR/Core/3.3V电源轨</t>
  </si>
  <si>
    <t>含基础稳压滤波，不含外置5V适配器</t>
  </si>
  <si>
    <t>基础器件</t>
  </si>
  <si>
    <t>晶振/无源器件</t>
  </si>
  <si>
    <t>时钟、电阻、电容、电感及去耦</t>
  </si>
  <si>
    <t>按直接SoC板工程中值</t>
  </si>
  <si>
    <t>调试维护</t>
  </si>
  <si>
    <t>UART/烧录测试点</t>
  </si>
  <si>
    <t>3.3V UART、Recovery、量产测试点</t>
  </si>
  <si>
    <t>量产可只保留焊盘</t>
  </si>
  <si>
    <t>人机交互</t>
  </si>
  <si>
    <t>按键/LED</t>
  </si>
  <si>
    <t>复位、功能键、网络/USB/错误状态灯</t>
  </si>
  <si>
    <t>不含显示屏</t>
  </si>
  <si>
    <t>时钟备份</t>
  </si>
  <si>
    <t>RTC备份</t>
  </si>
  <si>
    <t>纽扣电池座或超级电容</t>
  </si>
  <si>
    <t>稳定联网时可评估取消</t>
  </si>
  <si>
    <t>保护</t>
  </si>
  <si>
    <t>电源输入保护</t>
  </si>
  <si>
    <t>防反接、保险丝、TVS、浪涌抑制</t>
  </si>
  <si>
    <t>医疗现场建议保留</t>
  </si>
  <si>
    <t>结构连接</t>
  </si>
  <si>
    <t>连接器/线束</t>
  </si>
  <si>
    <t>电源、USB、RJ45、天线及内部连接件</t>
  </si>
  <si>
    <t>不含外部USB数据线和电源适配器</t>
  </si>
  <si>
    <t>制造</t>
  </si>
  <si>
    <t>PCB 6层板</t>
  </si>
  <si>
    <t>约85mm x 60mm，阻抗控制</t>
  </si>
  <si>
    <t>DDR和USB差分线建议6层</t>
  </si>
  <si>
    <t>SMT/BGA/X-Ray/测试</t>
  </si>
  <si>
    <t>贴片、插件、X-Ray、基础功能测试</t>
  </si>
  <si>
    <t>不含专用自动化工装开发</t>
  </si>
  <si>
    <t>辅料</t>
  </si>
  <si>
    <t>损耗与装配辅料</t>
  </si>
  <si>
    <t>焊锡、防静电、元件损耗和小辅料</t>
  </si>
  <si>
    <t>按批量和良率复核</t>
  </si>
  <si>
    <t>整机</t>
  </si>
  <si>
    <t>塑胶外壳</t>
  </si>
  <si>
    <t>无屏网关外壳</t>
  </si>
  <si>
    <t>1000台价格不含模具摊销</t>
  </si>
  <si>
    <t>5V电源与USB线</t>
  </si>
  <si>
    <t>5V/2A适配器 + Gadget数据线</t>
  </si>
  <si>
    <t>普通安规电源；医疗级电源另计</t>
  </si>
  <si>
    <t>装配/老化/包装</t>
  </si>
  <si>
    <t>整机装配、基础老化、包装</t>
  </si>
  <si>
    <t>不含售后备件和物流</t>
  </si>
  <si>
    <t>可选显示</t>
  </si>
  <si>
    <t>0.96寸OLED模块</t>
  </si>
  <si>
    <t>128x64、I2C、SSD1306/同级</t>
  </si>
  <si>
    <t>约1寸状态屏，显示网络、USB模式、上传和错误信息</t>
  </si>
  <si>
    <t>OLED结构与连接</t>
  </si>
  <si>
    <t>窗口、排针/FPC、固定件</t>
  </si>
  <si>
    <t>含基础结构增量，不含重新开模费用</t>
  </si>
  <si>
    <t>1.14寸IPS模块</t>
  </si>
  <si>
    <t>135x240、SPI、ST7789/同级</t>
  </si>
  <si>
    <t>彩色信息更多，但驱动、刷新和UI工作量更高</t>
  </si>
  <si>
    <t>IPS结构与连接</t>
  </si>
  <si>
    <t>窗口、背光供电、FPC/连接器</t>
  </si>
  <si>
    <t>含背光和基础结构增量，不含重新开模费用</t>
  </si>
  <si>
    <t>存储升级</t>
  </si>
  <si>
    <t>4GB eMMC差价</t>
  </si>
  <si>
    <t>4GB替代基础2GB</t>
  </si>
  <si>
    <t>估算完整单价18/13元；相对2GB只增加3/2元</t>
  </si>
  <si>
    <t>8GB eMMC差价</t>
  </si>
  <si>
    <t>8GB替代基础2GB</t>
  </si>
  <si>
    <t>估算完整单价24/17元；量产优先推荐</t>
  </si>
  <si>
    <t>RK3506 成本估算假设和维护说明</t>
  </si>
  <si>
    <t>项目</t>
  </si>
  <si>
    <t>内容</t>
  </si>
  <si>
    <t>影响</t>
  </si>
  <si>
    <t>维护建议</t>
  </si>
  <si>
    <t>价格口径</t>
  </si>
  <si>
    <t>100台按小批量采购/打样中值，1000台按稳定供应链目标值。</t>
  </si>
  <si>
    <t>不是锁价报价，存储和模组价格会波动。</t>
  </si>
  <si>
    <t>立项后向两家以上供应商询价并替换BOM单价。</t>
  </si>
  <si>
    <t>功能范围</t>
  </si>
  <si>
    <t>保留100M Ethernet、双频WiFi、USB MSC/Printer Gadget、HTTPS管理和报告上传。</t>
  </si>
  <si>
    <t>不是单纯Linux最小板，USB保护和制造测试不能省略。</t>
  </si>
  <si>
    <t>删减功能时同时更新BOM、原理图和验证清单。</t>
  </si>
  <si>
    <t>512MB为当前Python、SQLite、Pillow和单任务GhostPCL的最低建议值。</t>
  </si>
  <si>
    <t>并行转换或大页PCL可能出现内存压力。</t>
  </si>
  <si>
    <t>限制为单转换worker，记录峰值RSS；不足时改1GB。</t>
  </si>
  <si>
    <t>按精简Linux、单rootfs、无桌面、严格日志/报告清理估算。</t>
  </si>
  <si>
    <t>若MSC镜像为512MB，剩余报告缓存和升级空间很小。</t>
  </si>
  <si>
    <t>优先把MSC镜像降到256MB；同时询4GB/8GB价格。</t>
  </si>
  <si>
    <t>双频WiFi 5通过RK3506第二路USB OTG/Host连接，第一路专用于Gadget。</t>
  </si>
  <si>
    <t>避免无线重连影响MSC/Printer重新枚举。</t>
  </si>
  <si>
    <t>冻结模组芯片、驱动和固件，做弱信号/重连/EMC测试。</t>
  </si>
  <si>
    <t>网络策略</t>
  </si>
  <si>
    <t>Ethernet优先，WiFi回退；两条链路都支持DHCP，配置可选静态IP。</t>
  </si>
  <si>
    <t>网络切换时上传任务必须持久化。</t>
  </si>
  <si>
    <t>做拔网线、AP重启和断网恢复测试。</t>
  </si>
  <si>
    <t>不包含项</t>
  </si>
  <si>
    <t>税费、物流、模具、认证、医疗级隔离/电源、GhostPDL商业许可、研发NRE、服务器费用。</t>
  </si>
  <si>
    <t>这些费用会影响项目总投入和销售成本。</t>
  </si>
  <si>
    <t>项目立项时另建NRE和认证费用表。</t>
  </si>
  <si>
    <t>制造成本</t>
  </si>
  <si>
    <t>PCB、BGA贴片、X-Ray和测试按当前数量级工程中值估算。</t>
  </si>
  <si>
    <t>板层、尺寸、良率和工装会改变单价。</t>
  </si>
  <si>
    <t>Gerber/BOM冻结后向PCBA厂重新报价。</t>
  </si>
  <si>
    <t>维护方式</t>
  </si>
  <si>
    <t>在典型BOM中修改100台/1000台单价，总览公式自动更新。</t>
  </si>
  <si>
    <t>便于后续比较2GB、4GB、8GB和不同WiFi模组。</t>
  </si>
  <si>
    <t>不要手工覆盖成本总览中的公式。</t>
  </si>
  <si>
    <t>小屏方案</t>
  </si>
  <si>
    <t>默认推荐0.96寸I2C OLED；1.14寸SPI IPS作为彩色UI备选。</t>
  </si>
  <si>
    <t>OLED驱动和UI简单；IPS信息量更大但功耗、软件和结构成本更高。</t>
  </si>
  <si>
    <t>结构冻结前确认开窗、排线方向、亮度、中文字体和长期供货。</t>
  </si>
  <si>
    <t>器件资料页（用于确认定位和公开参考价，不是量产采购报价）</t>
  </si>
  <si>
    <t>器件</t>
  </si>
  <si>
    <t>资料页 URL</t>
  </si>
  <si>
    <t>用途</t>
  </si>
  <si>
    <t>RK3506 官方页</t>
  </si>
  <si>
    <t>https://www.rock-chips.com/a/en/products/RK35_Series/2025/1208/2126.html</t>
  </si>
  <si>
    <t>SoC规格</t>
  </si>
  <si>
    <t>确认三核A7、双USB OTG和外置DDR接口</t>
  </si>
  <si>
    <t>RK3506B 价格页</t>
  </si>
  <si>
    <t>https://www.jlc-smt.com/lcsc/detail/C48642328.html</t>
  </si>
  <si>
    <t>公开价格参考</t>
  </si>
  <si>
    <t>2026-07-16页面预订参考价20.91元/PCS，库存和量产价另询</t>
  </si>
  <si>
    <t>Core3506</t>
  </si>
  <si>
    <t>https://www.waveshare.com/product/core3506.htm</t>
  </si>
  <si>
    <t>核心板参考</t>
  </si>
  <si>
    <t>确认512MB DDR3L、双USB OTG和8GB eMMC选项</t>
  </si>
  <si>
    <t>项目设计规格</t>
  </si>
  <si>
    <t>docs/RK3506_VS_T113_REPORT_GATEWAY.md</t>
  </si>
  <si>
    <t>本项目架构</t>
  </si>
  <si>
    <t>确认WiFi、USB Gadget和成本口径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</si>
</sst>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17365D"/>
      <name val="Carlito"/>
      <charset val="134"/>
    </font>
    <font>
      <sz val="11"/>
      <color rgb="FF1F4E78"/>
      <name val="宋体"/>
      <charset val="134"/>
    </font>
    <font>
      <sz val="11"/>
      <color rgb="FF1F4E78"/>
      <name val="Carlito"/>
      <charset val="134"/>
    </font>
    <font>
      <sz val="11"/>
      <name val="宋体"/>
      <charset val="134"/>
    </font>
    <font>
      <sz val="11"/>
      <color rgb="FF7F6000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7FB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C7D6EA"/>
      </left>
      <right style="thin">
        <color rgb="FFC7D6EA"/>
      </right>
      <top style="thin">
        <color rgb="FFC7D6EA"/>
      </top>
      <bottom style="thin">
        <color rgb="FFC7D6EA"/>
      </bottom>
      <diagonal/>
    </border>
    <border>
      <left/>
      <right/>
      <top style="thin">
        <color rgb="FFC7D6EA"/>
      </top>
      <bottom style="thin">
        <color rgb="FFC7D6EA"/>
      </bottom>
      <diagonal/>
    </border>
    <border>
      <left/>
      <right style="thin">
        <color rgb="FFC7D6EA"/>
      </right>
      <top style="thin">
        <color rgb="FFC7D6EA"/>
      </top>
      <bottom style="thin">
        <color rgb="FFC7D6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>
      <alignment vertical="center"/>
    </xf>
    <xf numFmtId="44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  <xf numFmtId="42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" fillId="8" borderId="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16" fillId="0" borderId="6">
      <alignment vertical="center"/>
    </xf>
    <xf numFmtId="0" fontId="16" fillId="0" borderId="0">
      <alignment vertical="center"/>
    </xf>
    <xf numFmtId="0" fontId="17" fillId="9" borderId="7">
      <alignment vertical="center"/>
    </xf>
    <xf numFmtId="0" fontId="18" fillId="10" borderId="8">
      <alignment vertical="center"/>
    </xf>
    <xf numFmtId="0" fontId="19" fillId="10" borderId="7">
      <alignment vertical="center"/>
    </xf>
    <xf numFmtId="0" fontId="20" fillId="11" borderId="9">
      <alignment vertical="center"/>
    </xf>
    <xf numFmtId="0" fontId="21" fillId="0" borderId="10">
      <alignment vertical="center"/>
    </xf>
    <xf numFmtId="0" fontId="22" fillId="0" borderId="11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8" fillId="16" borderId="0">
      <alignment vertical="center"/>
    </xf>
    <xf numFmtId="0" fontId="8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8" fillId="20" borderId="0">
      <alignment vertical="center"/>
    </xf>
    <xf numFmtId="0" fontId="8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8" fillId="24" borderId="0">
      <alignment vertical="center"/>
    </xf>
    <xf numFmtId="0" fontId="8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8" fillId="28" borderId="0">
      <alignment vertical="center"/>
    </xf>
    <xf numFmtId="0" fontId="8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8" fillId="32" borderId="0">
      <alignment vertical="center"/>
    </xf>
    <xf numFmtId="0" fontId="8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8" fillId="36" borderId="0">
      <alignment vertical="center"/>
    </xf>
    <xf numFmtId="0" fontId="8" fillId="37" borderId="0">
      <alignment vertical="center"/>
    </xf>
    <xf numFmtId="0" fontId="26" fillId="38" borderId="0">
      <alignment vertical="center"/>
    </xf>
    <xf numFmtId="0" fontId="0" fillId="0" borderId="0"/>
  </cellStyleXfs>
  <cellXfs count="21">
    <xf numFmtId="0" fontId="0" fillId="0" borderId="0" xfId="49"/>
    <xf numFmtId="0" fontId="0" fillId="0" borderId="0" xfId="0" applyAlignment="1"/>
    <xf numFmtId="0" fontId="1" fillId="2" borderId="0" xfId="49" applyFont="1" applyFill="1"/>
    <xf numFmtId="0" fontId="2" fillId="3" borderId="1" xfId="49" applyFont="1" applyFill="1" applyBorder="1" applyAlignment="1">
      <alignment wrapText="1"/>
    </xf>
    <xf numFmtId="0" fontId="0" fillId="0" borderId="1" xfId="49" applyBorder="1" applyAlignment="1">
      <alignment wrapText="1"/>
    </xf>
    <xf numFmtId="0" fontId="3" fillId="4" borderId="0" xfId="49" applyFont="1" applyFill="1"/>
    <xf numFmtId="0" fontId="4" fillId="5" borderId="0" xfId="49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wrapText="1"/>
    </xf>
    <xf numFmtId="0" fontId="5" fillId="5" borderId="0" xfId="49" applyFont="1" applyFill="1" applyAlignment="1">
      <alignment wrapText="1"/>
    </xf>
    <xf numFmtId="3" fontId="0" fillId="0" borderId="1" xfId="49" applyNumberFormat="1" applyBorder="1" applyAlignment="1">
      <alignment wrapText="1"/>
    </xf>
    <xf numFmtId="3" fontId="0" fillId="0" borderId="0" xfId="0" applyNumberFormat="1" applyAlignment="1"/>
    <xf numFmtId="3" fontId="0" fillId="6" borderId="1" xfId="49" applyNumberFormat="1" applyFill="1" applyBorder="1" applyAlignment="1">
      <alignment wrapText="1"/>
    </xf>
    <xf numFmtId="3" fontId="6" fillId="0" borderId="1" xfId="49" applyNumberFormat="1" applyBorder="1" applyAlignment="1">
      <alignment wrapText="1"/>
    </xf>
    <xf numFmtId="0" fontId="0" fillId="6" borderId="1" xfId="49" applyFill="1" applyBorder="1" applyAlignment="1">
      <alignment wrapText="1"/>
    </xf>
    <xf numFmtId="0" fontId="0" fillId="0" borderId="1" xfId="49" applyBorder="1" applyAlignment="1">
      <alignment vertical="center" wrapText="1"/>
    </xf>
    <xf numFmtId="0" fontId="0" fillId="0" borderId="2" xfId="0" applyBorder="1" applyAlignment="1"/>
    <xf numFmtId="0" fontId="0" fillId="0" borderId="3" xfId="0" applyBorder="1" applyAlignment="1"/>
    <xf numFmtId="0" fontId="7" fillId="7" borderId="0" xfId="49" applyFont="1" applyFill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9"/>
  <sheetViews>
    <sheetView showGridLines="0" workbookViewId="0">
      <pane ySplit="3" topLeftCell="A4" activePane="bottomLeft" state="frozen"/>
      <selection/>
      <selection pane="bottomLeft" activeCell="F9" sqref="F9"/>
    </sheetView>
  </sheetViews>
  <sheetFormatPr defaultColWidth="9" defaultRowHeight="14.25" outlineLevelCol="5"/>
  <cols>
    <col min="1" max="1" width="29" style="1" customWidth="1"/>
    <col min="2" max="2" width="17" style="1" customWidth="1"/>
    <col min="3" max="3" width="42" style="1" customWidth="1"/>
    <col min="4" max="4" width="44" style="1" customWidth="1"/>
    <col min="5" max="5" width="23" style="1" customWidth="1"/>
    <col min="6" max="6" width="15" style="1" customWidth="1"/>
  </cols>
  <sheetData>
    <row r="1" ht="20" customHeight="1" spans="1:6">
      <c r="A1" s="2" t="s">
        <v>0</v>
      </c>
    </row>
    <row r="2" spans="1:6">
      <c r="A2" s="11" t="s">
        <v>1</v>
      </c>
    </row>
    <row r="4" ht="15" spans="1:6">
      <c r="A4" s="3" t="s">
        <v>2</v>
      </c>
      <c r="B4" s="3" t="s">
        <v>3</v>
      </c>
      <c r="C4" s="3" t="s">
        <v>4</v>
      </c>
      <c r="E4" s="3" t="s">
        <v>5</v>
      </c>
      <c r="F4" s="3" t="s">
        <v>6</v>
      </c>
    </row>
    <row r="5" ht="28" customHeight="1" spans="1:6">
      <c r="A5" s="4" t="s">
        <v>7</v>
      </c>
      <c r="B5" s="12">
        <f>SUM(典型BOM!$F$5:$F$23)</f>
        <v>336</v>
      </c>
      <c r="C5" s="4" t="s">
        <v>8</v>
      </c>
      <c r="E5" s="16" t="s">
        <v>9</v>
      </c>
      <c r="F5" s="14">
        <f>B6</f>
        <v>419</v>
      </c>
    </row>
    <row r="6" ht="27.75" spans="1:6">
      <c r="A6" s="4" t="s">
        <v>10</v>
      </c>
      <c r="B6" s="12">
        <f>SUM(典型BOM!$F$5:$F$26)</f>
        <v>419</v>
      </c>
      <c r="C6" s="4" t="s">
        <v>11</v>
      </c>
      <c r="E6" s="16" t="s">
        <v>12</v>
      </c>
      <c r="F6" s="14">
        <f>B8</f>
        <v>222</v>
      </c>
    </row>
    <row r="7" spans="1:6">
      <c r="A7" s="4" t="s">
        <v>13</v>
      </c>
      <c r="B7" s="12">
        <f>SUM(典型BOM!$H$5:$H$23)</f>
        <v>173</v>
      </c>
      <c r="C7" s="4" t="s">
        <v>14</v>
      </c>
      <c r="E7" s="16" t="s">
        <v>15</v>
      </c>
      <c r="F7" s="14">
        <f>成本总览!B6+典型BOM!F32+SUM(典型BOM!F27:F28)</f>
        <v>444</v>
      </c>
    </row>
    <row r="8" ht="28.5" spans="1:6">
      <c r="A8" s="4" t="s">
        <v>16</v>
      </c>
      <c r="B8" s="12">
        <f>SUM(典型BOM!$H$5:$H$26)</f>
        <v>222</v>
      </c>
      <c r="C8" s="4" t="s">
        <v>17</v>
      </c>
      <c r="E8" s="16" t="s">
        <v>18</v>
      </c>
      <c r="F8" s="14">
        <f>成本总览!B8+典型BOM!H32+SUM(典型BOM!H27:H28)</f>
        <v>239</v>
      </c>
    </row>
    <row r="10" ht="15" spans="1:6">
      <c r="A10" s="3" t="s">
        <v>19</v>
      </c>
      <c r="B10" s="3" t="s">
        <v>20</v>
      </c>
      <c r="C10" s="3" t="s">
        <v>21</v>
      </c>
    </row>
    <row r="11" spans="1:6">
      <c r="A11" s="4" t="s">
        <v>22</v>
      </c>
      <c r="B11" s="12">
        <f>SUM(典型BOM!F5:F7)</f>
        <v>126</v>
      </c>
      <c r="C11" s="12">
        <f>SUM(典型BOM!H5:H7)</f>
        <v>41</v>
      </c>
      <c r="D11" s="9" t="s">
        <v>23</v>
      </c>
    </row>
    <row r="12" spans="1:6">
      <c r="A12" s="4" t="s">
        <v>24</v>
      </c>
      <c r="B12" s="12">
        <f>SUM(典型BOM!F8:F9)+典型BOM!F13</f>
        <v>42</v>
      </c>
      <c r="C12" s="15">
        <f>SUM(典型BOM!H8:H9)+典型BOM!H13</f>
        <v>29</v>
      </c>
      <c r="D12" s="9" t="s">
        <v>25</v>
      </c>
    </row>
    <row r="13" spans="1:6">
      <c r="A13" s="4" t="s">
        <v>26</v>
      </c>
      <c r="B13" s="12">
        <f>SUM(典型BOM!F10:F11)</f>
        <v>15</v>
      </c>
      <c r="C13" s="12">
        <f>SUM(典型BOM!H10:H11)</f>
        <v>11</v>
      </c>
      <c r="D13" s="9" t="s">
        <v>27</v>
      </c>
    </row>
    <row r="14" spans="1:6">
      <c r="A14" s="4" t="s">
        <v>28</v>
      </c>
      <c r="B14" s="12">
        <f>典型BOM!F12</f>
        <v>10</v>
      </c>
      <c r="C14" s="12">
        <f>典型BOM!H12</f>
        <v>7</v>
      </c>
      <c r="D14" s="9" t="s">
        <v>29</v>
      </c>
    </row>
    <row r="15" spans="1:6">
      <c r="A15" s="4" t="s">
        <v>30</v>
      </c>
      <c r="B15" s="12">
        <f>SUM(典型BOM!F14:F20)</f>
        <v>63</v>
      </c>
      <c r="C15" s="12">
        <f>SUM(典型BOM!H14:H20)</f>
        <v>42</v>
      </c>
      <c r="D15" s="9" t="s">
        <v>31</v>
      </c>
    </row>
    <row r="16" spans="1:6">
      <c r="A16" s="4" t="s">
        <v>32</v>
      </c>
      <c r="B16" s="12">
        <f>SUM(典型BOM!F21:F23)</f>
        <v>80</v>
      </c>
      <c r="C16" s="12">
        <f>SUM(典型BOM!H21:H23)</f>
        <v>43</v>
      </c>
      <c r="D16" s="9" t="s">
        <v>33</v>
      </c>
    </row>
    <row r="17" spans="1:4">
      <c r="A17" s="4" t="s">
        <v>34</v>
      </c>
      <c r="B17" s="12">
        <f>SUM(典型BOM!F24:F26)</f>
        <v>83</v>
      </c>
      <c r="C17" s="12">
        <f>SUM(典型BOM!H24:H26)</f>
        <v>49</v>
      </c>
      <c r="D17" s="9" t="s">
        <v>35</v>
      </c>
    </row>
    <row r="19" ht="42" customHeight="1" spans="1:4">
      <c r="A19" s="20" t="s">
        <v>36</v>
      </c>
    </row>
  </sheetData>
  <mergeCells count="3">
    <mergeCell ref="A1:F1"/>
    <mergeCell ref="A2:F2"/>
    <mergeCell ref="A19:F19"/>
  </mergeCells>
  <pageMargins left="0.7" right="0.7" top="0.75" bottom="0.75" header="0.3" footer="0.3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2"/>
  <sheetViews>
    <sheetView showGridLines="0" workbookViewId="0">
      <pane ySplit="3" topLeftCell="A4" activePane="bottomLeft" state="frozen"/>
      <selection/>
      <selection pane="bottomLeft" activeCell="B20" sqref="B20"/>
    </sheetView>
  </sheetViews>
  <sheetFormatPr defaultColWidth="9" defaultRowHeight="14.25" outlineLevelCol="5"/>
  <cols>
    <col min="1" max="1" width="25" style="1" customWidth="1"/>
    <col min="2" max="2" width="15" style="1" customWidth="1"/>
    <col min="3" max="3" width="16" style="1" customWidth="1"/>
    <col min="4" max="4" width="20" style="1" customWidth="1"/>
    <col min="5" max="5" width="42" style="1" customWidth="1"/>
    <col min="6" max="6" width="20" style="1" customWidth="1"/>
  </cols>
  <sheetData>
    <row r="1" ht="20" customHeight="1" spans="1:6">
      <c r="A1" s="2" t="s">
        <v>37</v>
      </c>
    </row>
    <row r="2" spans="1:6">
      <c r="A2" s="11" t="s">
        <v>38</v>
      </c>
    </row>
    <row r="4" ht="15" spans="1:6">
      <c r="A4" s="3" t="s">
        <v>39</v>
      </c>
      <c r="B4" s="3" t="s">
        <v>9</v>
      </c>
      <c r="C4" s="3" t="s">
        <v>12</v>
      </c>
      <c r="D4" t="s">
        <v>40</v>
      </c>
      <c r="E4" s="3" t="s">
        <v>41</v>
      </c>
      <c r="F4" s="3" t="s">
        <v>42</v>
      </c>
    </row>
    <row r="5" ht="28" customHeight="1" spans="1:6">
      <c r="A5" s="4" t="s">
        <v>43</v>
      </c>
      <c r="B5" s="12">
        <f>成本总览!B6</f>
        <v>419</v>
      </c>
      <c r="C5" s="12">
        <f>成本总览!B8</f>
        <v>222</v>
      </c>
      <c r="D5" s="13">
        <f>B5-成本总览!B6</f>
        <v>0</v>
      </c>
      <c r="E5" s="14">
        <f>C5-成本总览!B8</f>
        <v>0</v>
      </c>
      <c r="F5" s="14" t="s">
        <v>44</v>
      </c>
    </row>
    <row r="6" spans="1:6">
      <c r="A6" s="4" t="s">
        <v>45</v>
      </c>
      <c r="B6" s="12">
        <f>成本总览!B6+SUM(典型BOM!F27:F28)</f>
        <v>435</v>
      </c>
      <c r="C6" s="12">
        <f>成本总览!B8+SUM(典型BOM!H27:H28)</f>
        <v>233</v>
      </c>
      <c r="D6" s="13">
        <f>B6-成本总览!B6</f>
        <v>16</v>
      </c>
      <c r="E6" s="14">
        <f>C6-成本总览!B8</f>
        <v>11</v>
      </c>
      <c r="F6" s="14" t="s">
        <v>46</v>
      </c>
    </row>
    <row r="7" spans="1:6">
      <c r="A7" s="4" t="s">
        <v>47</v>
      </c>
      <c r="B7" s="12">
        <f>成本总览!B6+典型BOM!F31+SUM(典型BOM!F27:F28)</f>
        <v>438</v>
      </c>
      <c r="C7" s="12">
        <f>成本总览!B8+典型BOM!H31+SUM(典型BOM!H27:H28)</f>
        <v>235</v>
      </c>
      <c r="D7" s="13">
        <f>B7-成本总览!B6</f>
        <v>19</v>
      </c>
      <c r="E7" s="14">
        <f>C7-成本总览!B8</f>
        <v>13</v>
      </c>
      <c r="F7" s="14" t="s">
        <v>48</v>
      </c>
    </row>
    <row r="8" spans="1:6">
      <c r="A8" s="4" t="s">
        <v>49</v>
      </c>
      <c r="B8" s="12">
        <f>成本总览!B6+典型BOM!F32+SUM(典型BOM!F27:F28)</f>
        <v>444</v>
      </c>
      <c r="C8" s="12">
        <f>成本总览!B8+典型BOM!H32+SUM(典型BOM!H27:H28)</f>
        <v>239</v>
      </c>
      <c r="D8" s="13">
        <f>B8-成本总览!B6</f>
        <v>25</v>
      </c>
      <c r="E8" s="14">
        <f>C8-成本总览!B8</f>
        <v>17</v>
      </c>
      <c r="F8" s="14" t="s">
        <v>50</v>
      </c>
    </row>
    <row r="9" spans="1:6">
      <c r="A9" s="4" t="s">
        <v>51</v>
      </c>
      <c r="B9" s="12">
        <f>成本总览!B6+SUM(典型BOM!F29:F30)</f>
        <v>449</v>
      </c>
      <c r="C9" s="12">
        <f>成本总览!B8+SUM(典型BOM!H29:H30)</f>
        <v>243</v>
      </c>
      <c r="D9" s="13">
        <f>B9-成本总览!B6</f>
        <v>30</v>
      </c>
      <c r="E9" s="14">
        <f>C9-成本总览!B8</f>
        <v>21</v>
      </c>
      <c r="F9" s="14" t="s">
        <v>52</v>
      </c>
    </row>
    <row r="10" spans="1:6">
      <c r="A10" s="4" t="s">
        <v>53</v>
      </c>
      <c r="B10" s="12">
        <f>成本总览!B6+典型BOM!F31+SUM(典型BOM!F29:F30)</f>
        <v>452</v>
      </c>
      <c r="C10" s="12">
        <f>成本总览!B8+典型BOM!H31+SUM(典型BOM!H29:H30)</f>
        <v>245</v>
      </c>
      <c r="D10" s="13">
        <f>B10-成本总览!B6</f>
        <v>33</v>
      </c>
      <c r="E10" s="14">
        <f>C10-成本总览!B8</f>
        <v>23</v>
      </c>
      <c r="F10" s="14" t="s">
        <v>54</v>
      </c>
    </row>
    <row r="11" spans="1:6">
      <c r="A11" s="4" t="s">
        <v>55</v>
      </c>
      <c r="B11" s="12">
        <f>成本总览!B6+典型BOM!F32+SUM(典型BOM!F29:F30)</f>
        <v>458</v>
      </c>
      <c r="C11" s="12">
        <f>成本总览!B8+典型BOM!H32+SUM(典型BOM!H29:H30)</f>
        <v>249</v>
      </c>
      <c r="D11" s="13">
        <f>B11-成本总览!B6</f>
        <v>39</v>
      </c>
      <c r="E11" s="14">
        <f>C11-成本总览!B8</f>
        <v>27</v>
      </c>
      <c r="F11" s="14" t="s">
        <v>56</v>
      </c>
    </row>
    <row r="12" spans="1:6">
      <c r="A12" s="4"/>
      <c r="B12" s="12"/>
      <c r="C12" s="15"/>
      <c r="D12" s="9"/>
    </row>
    <row r="13" spans="1:6">
      <c r="A13" s="4" t="s">
        <v>57</v>
      </c>
      <c r="B13" s="12" t="s">
        <v>58</v>
      </c>
      <c r="C13" s="4" t="s">
        <v>59</v>
      </c>
      <c r="D13" t="s">
        <v>60</v>
      </c>
      <c r="E13" s="16" t="s">
        <v>61</v>
      </c>
      <c r="F13" s="14" t="s">
        <v>42</v>
      </c>
    </row>
    <row r="14" ht="34" customHeight="1" spans="1:6">
      <c r="A14" s="4" t="s">
        <v>62</v>
      </c>
      <c r="B14" s="12">
        <v>15</v>
      </c>
      <c r="C14" s="4">
        <v>11</v>
      </c>
      <c r="D14" t="s">
        <v>63</v>
      </c>
      <c r="E14" s="16" t="s">
        <v>64</v>
      </c>
      <c r="F14" s="14" t="s">
        <v>65</v>
      </c>
    </row>
    <row r="15" ht="34" customHeight="1" spans="1:6">
      <c r="A15" s="4" t="s">
        <v>66</v>
      </c>
      <c r="B15" s="12">
        <v>18</v>
      </c>
      <c r="C15" s="4">
        <v>13</v>
      </c>
      <c r="D15" t="s">
        <v>67</v>
      </c>
      <c r="E15" s="16" t="s">
        <v>68</v>
      </c>
      <c r="F15" s="14" t="s">
        <v>69</v>
      </c>
    </row>
    <row r="16" ht="34" customHeight="1" spans="1:6">
      <c r="A16" s="4" t="s">
        <v>70</v>
      </c>
      <c r="B16" s="12">
        <v>24</v>
      </c>
      <c r="C16" s="4">
        <v>17</v>
      </c>
      <c r="D16" t="s">
        <v>71</v>
      </c>
      <c r="E16" s="16" t="s">
        <v>72</v>
      </c>
      <c r="F16" s="14" t="s">
        <v>73</v>
      </c>
    </row>
    <row r="17" spans="1:6">
      <c r="A17" s="4"/>
      <c r="B17" s="12"/>
      <c r="C17" s="12"/>
      <c r="D17" s="9"/>
    </row>
    <row r="18" spans="1:6">
      <c r="A18" s="4" t="s">
        <v>74</v>
      </c>
      <c r="B18" s="12" t="s">
        <v>40</v>
      </c>
      <c r="C18" s="4" t="s">
        <v>41</v>
      </c>
      <c r="D18" t="s">
        <v>75</v>
      </c>
      <c r="E18" s="16" t="s">
        <v>76</v>
      </c>
      <c r="F18" s="14" t="s">
        <v>42</v>
      </c>
    </row>
    <row r="19" ht="36" customHeight="1" spans="1:6">
      <c r="A19" s="4" t="s">
        <v>77</v>
      </c>
      <c r="B19" s="12">
        <f>SUM(典型BOM!F27:F28)</f>
        <v>16</v>
      </c>
      <c r="C19" s="12">
        <f>SUM(典型BOM!H27:H28)</f>
        <v>11</v>
      </c>
      <c r="D19" t="s">
        <v>78</v>
      </c>
      <c r="E19" s="16" t="s">
        <v>79</v>
      </c>
      <c r="F19" s="14" t="s">
        <v>73</v>
      </c>
    </row>
    <row r="20" ht="36" customHeight="1" spans="1:6">
      <c r="A20" s="4" t="s">
        <v>80</v>
      </c>
      <c r="B20" s="12">
        <f>SUM(典型BOM!F29:F30)</f>
        <v>30</v>
      </c>
      <c r="C20" s="12">
        <f>SUM(典型BOM!H29:H30)</f>
        <v>21</v>
      </c>
      <c r="D20" t="s">
        <v>81</v>
      </c>
      <c r="E20" s="16" t="s">
        <v>82</v>
      </c>
      <c r="F20" s="14" t="s">
        <v>83</v>
      </c>
    </row>
    <row r="22" ht="38" customHeight="1" spans="1:6">
      <c r="A22" s="17" t="s">
        <v>84</v>
      </c>
      <c r="B22" s="18"/>
      <c r="C22" s="18"/>
      <c r="D22" s="18"/>
      <c r="E22" s="18"/>
      <c r="F22" s="19"/>
    </row>
  </sheetData>
  <mergeCells count="3">
    <mergeCell ref="A1:F1"/>
    <mergeCell ref="A2:F2"/>
    <mergeCell ref="A22:F22"/>
  </mergeCells>
  <pageMargins left="0.7" right="0.7" top="0.75" bottom="0.75" header="0.3" footer="0.3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2"/>
  <sheetViews>
    <sheetView showGridLines="0" tabSelected="1" workbookViewId="0">
      <pane ySplit="4" topLeftCell="A5" activePane="bottomLeft" state="frozen"/>
      <selection/>
      <selection pane="bottomLeft" activeCell="F8" sqref="F8"/>
    </sheetView>
  </sheetViews>
  <sheetFormatPr defaultColWidth="9" defaultRowHeight="14.25"/>
  <cols>
    <col min="1" max="1" width="13" style="1" customWidth="1"/>
    <col min="2" max="2" width="23" style="1" customWidth="1"/>
    <col min="3" max="3" width="40" style="1" customWidth="1"/>
    <col min="4" max="4" width="9" style="1" customWidth="1"/>
    <col min="5" max="6" width="14" style="1" customWidth="1"/>
    <col min="7" max="8" width="15" style="1" customWidth="1"/>
    <col min="9" max="9" width="48" style="1" customWidth="1"/>
  </cols>
  <sheetData>
    <row r="1" ht="24" customHeight="1" spans="1:9">
      <c r="A1" s="2" t="s">
        <v>85</v>
      </c>
    </row>
    <row r="2" ht="34" customHeight="1" spans="1:9">
      <c r="A2" s="6" t="s">
        <v>86</v>
      </c>
    </row>
    <row r="4" ht="15" spans="1:9">
      <c r="A4" s="7" t="s">
        <v>87</v>
      </c>
      <c r="B4" s="7" t="s">
        <v>88</v>
      </c>
      <c r="C4" s="7" t="s">
        <v>89</v>
      </c>
      <c r="D4" s="7" t="s">
        <v>90</v>
      </c>
      <c r="E4" s="7" t="s">
        <v>58</v>
      </c>
      <c r="F4" s="7" t="s">
        <v>91</v>
      </c>
      <c r="G4" s="7" t="s">
        <v>59</v>
      </c>
      <c r="H4" s="7" t="s">
        <v>92</v>
      </c>
      <c r="I4" s="7" t="s">
        <v>93</v>
      </c>
    </row>
    <row r="5" ht="36" customHeight="1" spans="1:9">
      <c r="A5" s="8" t="s">
        <v>22</v>
      </c>
      <c r="B5" s="8" t="s">
        <v>94</v>
      </c>
      <c r="C5" s="9" t="s">
        <v>95</v>
      </c>
      <c r="D5" s="10">
        <v>1</v>
      </c>
      <c r="E5" s="10">
        <v>21</v>
      </c>
      <c r="F5" s="10">
        <f t="shared" ref="F5:F32" si="0">D5*E5</f>
        <v>21</v>
      </c>
      <c r="G5" s="10">
        <v>18</v>
      </c>
      <c r="H5" s="10">
        <f t="shared" ref="H5:H32" si="1">D5*G5</f>
        <v>18</v>
      </c>
      <c r="I5" s="9" t="s">
        <v>96</v>
      </c>
    </row>
    <row r="6" ht="36" customHeight="1" spans="1:9">
      <c r="A6" s="8" t="s">
        <v>97</v>
      </c>
      <c r="B6" s="8" t="s">
        <v>98</v>
      </c>
      <c r="C6" s="9" t="s">
        <v>99</v>
      </c>
      <c r="D6" s="10">
        <v>1</v>
      </c>
      <c r="E6" s="10">
        <v>55</v>
      </c>
      <c r="F6" s="10">
        <f t="shared" si="0"/>
        <v>55</v>
      </c>
      <c r="G6" s="10">
        <v>12</v>
      </c>
      <c r="H6" s="10">
        <f t="shared" si="1"/>
        <v>12</v>
      </c>
      <c r="I6" s="9" t="s">
        <v>100</v>
      </c>
    </row>
    <row r="7" ht="36" customHeight="1" spans="1:9">
      <c r="A7" s="8" t="s">
        <v>101</v>
      </c>
      <c r="B7" s="8" t="s">
        <v>102</v>
      </c>
      <c r="C7" s="9" t="s">
        <v>103</v>
      </c>
      <c r="D7" s="10">
        <v>1</v>
      </c>
      <c r="E7" s="10">
        <v>50</v>
      </c>
      <c r="F7" s="10">
        <f t="shared" si="0"/>
        <v>50</v>
      </c>
      <c r="G7" s="10">
        <v>11</v>
      </c>
      <c r="H7" s="10">
        <f t="shared" si="1"/>
        <v>11</v>
      </c>
      <c r="I7" s="9" t="s">
        <v>104</v>
      </c>
    </row>
    <row r="8" ht="36" customHeight="1" spans="1:9">
      <c r="A8" s="8" t="s">
        <v>24</v>
      </c>
      <c r="B8" s="8" t="s">
        <v>105</v>
      </c>
      <c r="C8" s="9" t="s">
        <v>106</v>
      </c>
      <c r="D8" s="10">
        <v>1</v>
      </c>
      <c r="E8" s="10">
        <v>28</v>
      </c>
      <c r="F8" s="10">
        <f t="shared" si="0"/>
        <v>28</v>
      </c>
      <c r="G8" s="10">
        <v>20</v>
      </c>
      <c r="H8" s="10">
        <f t="shared" si="1"/>
        <v>20</v>
      </c>
      <c r="I8" s="9" t="s">
        <v>107</v>
      </c>
    </row>
    <row r="9" ht="36" customHeight="1" spans="1:9">
      <c r="A9" s="8" t="s">
        <v>24</v>
      </c>
      <c r="B9" s="8" t="s">
        <v>108</v>
      </c>
      <c r="C9" s="9" t="s">
        <v>109</v>
      </c>
      <c r="D9" s="10">
        <v>1</v>
      </c>
      <c r="E9" s="10">
        <v>6</v>
      </c>
      <c r="F9" s="10">
        <f t="shared" si="0"/>
        <v>6</v>
      </c>
      <c r="G9" s="10">
        <v>4</v>
      </c>
      <c r="H9" s="10">
        <f t="shared" si="1"/>
        <v>4</v>
      </c>
      <c r="I9" s="9" t="s">
        <v>110</v>
      </c>
    </row>
    <row r="10" ht="36" customHeight="1" spans="1:9">
      <c r="A10" s="8" t="s">
        <v>26</v>
      </c>
      <c r="B10" s="8" t="s">
        <v>111</v>
      </c>
      <c r="C10" s="9" t="s">
        <v>112</v>
      </c>
      <c r="D10" s="10">
        <v>1</v>
      </c>
      <c r="E10" s="10">
        <v>7</v>
      </c>
      <c r="F10" s="10">
        <f t="shared" si="0"/>
        <v>7</v>
      </c>
      <c r="G10" s="10">
        <v>5</v>
      </c>
      <c r="H10" s="10">
        <f t="shared" si="1"/>
        <v>5</v>
      </c>
      <c r="I10" s="9" t="s">
        <v>113</v>
      </c>
    </row>
    <row r="11" ht="36" customHeight="1" spans="1:9">
      <c r="A11" s="8" t="s">
        <v>26</v>
      </c>
      <c r="B11" s="8" t="s">
        <v>114</v>
      </c>
      <c r="C11" s="9" t="s">
        <v>115</v>
      </c>
      <c r="D11" s="10">
        <v>1</v>
      </c>
      <c r="E11" s="10">
        <v>8</v>
      </c>
      <c r="F11" s="10">
        <f t="shared" si="0"/>
        <v>8</v>
      </c>
      <c r="G11" s="10">
        <v>6</v>
      </c>
      <c r="H11" s="10">
        <f t="shared" si="1"/>
        <v>6</v>
      </c>
      <c r="I11" s="9" t="s">
        <v>116</v>
      </c>
    </row>
    <row r="12" ht="36" customHeight="1" spans="1:9">
      <c r="A12" s="8" t="s">
        <v>28</v>
      </c>
      <c r="B12" s="8" t="s">
        <v>117</v>
      </c>
      <c r="C12" s="9" t="s">
        <v>118</v>
      </c>
      <c r="D12" s="10">
        <v>1</v>
      </c>
      <c r="E12" s="10">
        <v>10</v>
      </c>
      <c r="F12" s="10">
        <f t="shared" si="0"/>
        <v>10</v>
      </c>
      <c r="G12" s="10">
        <v>7</v>
      </c>
      <c r="H12" s="10">
        <f t="shared" si="1"/>
        <v>7</v>
      </c>
      <c r="I12" s="9" t="s">
        <v>119</v>
      </c>
    </row>
    <row r="13" ht="36" customHeight="1" spans="1:9">
      <c r="A13" s="8" t="s">
        <v>24</v>
      </c>
      <c r="B13" s="8" t="s">
        <v>120</v>
      </c>
      <c r="C13" s="9" t="s">
        <v>121</v>
      </c>
      <c r="D13" s="10">
        <v>1</v>
      </c>
      <c r="E13" s="10">
        <v>8</v>
      </c>
      <c r="F13" s="10">
        <f t="shared" si="0"/>
        <v>8</v>
      </c>
      <c r="G13" s="10">
        <v>5</v>
      </c>
      <c r="H13" s="10">
        <f t="shared" si="1"/>
        <v>5</v>
      </c>
      <c r="I13" s="9" t="s">
        <v>122</v>
      </c>
    </row>
    <row r="14" ht="36" customHeight="1" spans="1:9">
      <c r="A14" s="8" t="s">
        <v>123</v>
      </c>
      <c r="B14" s="8" t="s">
        <v>124</v>
      </c>
      <c r="C14" s="9" t="s">
        <v>125</v>
      </c>
      <c r="D14" s="10">
        <v>1</v>
      </c>
      <c r="E14" s="10">
        <v>20</v>
      </c>
      <c r="F14" s="10">
        <f t="shared" si="0"/>
        <v>20</v>
      </c>
      <c r="G14" s="10">
        <v>13</v>
      </c>
      <c r="H14" s="10">
        <f t="shared" si="1"/>
        <v>13</v>
      </c>
      <c r="I14" s="9" t="s">
        <v>126</v>
      </c>
    </row>
    <row r="15" ht="36" customHeight="1" spans="1:9">
      <c r="A15" s="8" t="s">
        <v>127</v>
      </c>
      <c r="B15" s="8" t="s">
        <v>128</v>
      </c>
      <c r="C15" s="9" t="s">
        <v>129</v>
      </c>
      <c r="D15" s="10">
        <v>1</v>
      </c>
      <c r="E15" s="10">
        <v>15</v>
      </c>
      <c r="F15" s="10">
        <f t="shared" si="0"/>
        <v>15</v>
      </c>
      <c r="G15" s="10">
        <v>10</v>
      </c>
      <c r="H15" s="10">
        <f t="shared" si="1"/>
        <v>10</v>
      </c>
      <c r="I15" s="9" t="s">
        <v>130</v>
      </c>
    </row>
    <row r="16" ht="36" customHeight="1" spans="1:9">
      <c r="A16" s="8" t="s">
        <v>131</v>
      </c>
      <c r="B16" s="8" t="s">
        <v>132</v>
      </c>
      <c r="C16" s="9" t="s">
        <v>133</v>
      </c>
      <c r="D16" s="10">
        <v>1</v>
      </c>
      <c r="E16" s="10">
        <v>4</v>
      </c>
      <c r="F16" s="10">
        <f t="shared" si="0"/>
        <v>4</v>
      </c>
      <c r="G16" s="10">
        <v>2</v>
      </c>
      <c r="H16" s="10">
        <f t="shared" si="1"/>
        <v>2</v>
      </c>
      <c r="I16" s="9" t="s">
        <v>134</v>
      </c>
    </row>
    <row r="17" ht="36" customHeight="1" spans="1:9">
      <c r="A17" s="8" t="s">
        <v>135</v>
      </c>
      <c r="B17" s="8" t="s">
        <v>136</v>
      </c>
      <c r="C17" s="9" t="s">
        <v>137</v>
      </c>
      <c r="D17" s="10">
        <v>1</v>
      </c>
      <c r="E17" s="10">
        <v>4</v>
      </c>
      <c r="F17" s="10">
        <f t="shared" si="0"/>
        <v>4</v>
      </c>
      <c r="G17" s="10">
        <v>3</v>
      </c>
      <c r="H17" s="10">
        <f t="shared" si="1"/>
        <v>3</v>
      </c>
      <c r="I17" s="9" t="s">
        <v>138</v>
      </c>
    </row>
    <row r="18" ht="36" customHeight="1" spans="1:9">
      <c r="A18" s="8" t="s">
        <v>139</v>
      </c>
      <c r="B18" s="8" t="s">
        <v>140</v>
      </c>
      <c r="C18" s="9" t="s">
        <v>141</v>
      </c>
      <c r="D18" s="10">
        <v>1</v>
      </c>
      <c r="E18" s="10">
        <v>4</v>
      </c>
      <c r="F18" s="10">
        <f t="shared" si="0"/>
        <v>4</v>
      </c>
      <c r="G18" s="10">
        <v>3</v>
      </c>
      <c r="H18" s="10">
        <f t="shared" si="1"/>
        <v>3</v>
      </c>
      <c r="I18" s="9" t="s">
        <v>142</v>
      </c>
    </row>
    <row r="19" ht="36" customHeight="1" spans="1:9">
      <c r="A19" s="8" t="s">
        <v>143</v>
      </c>
      <c r="B19" s="8" t="s">
        <v>144</v>
      </c>
      <c r="C19" s="9" t="s">
        <v>145</v>
      </c>
      <c r="D19" s="10">
        <v>1</v>
      </c>
      <c r="E19" s="10">
        <v>6</v>
      </c>
      <c r="F19" s="10">
        <f t="shared" si="0"/>
        <v>6</v>
      </c>
      <c r="G19" s="10">
        <v>4</v>
      </c>
      <c r="H19" s="10">
        <f t="shared" si="1"/>
        <v>4</v>
      </c>
      <c r="I19" s="9" t="s">
        <v>146</v>
      </c>
    </row>
    <row r="20" ht="36" customHeight="1" spans="1:9">
      <c r="A20" s="8" t="s">
        <v>147</v>
      </c>
      <c r="B20" s="8" t="s">
        <v>148</v>
      </c>
      <c r="C20" s="9" t="s">
        <v>149</v>
      </c>
      <c r="D20" s="10">
        <v>1</v>
      </c>
      <c r="E20" s="10">
        <v>10</v>
      </c>
      <c r="F20" s="10">
        <f t="shared" si="0"/>
        <v>10</v>
      </c>
      <c r="G20" s="10">
        <v>7</v>
      </c>
      <c r="H20" s="10">
        <f t="shared" si="1"/>
        <v>7</v>
      </c>
      <c r="I20" s="9" t="s">
        <v>150</v>
      </c>
    </row>
    <row r="21" ht="36" customHeight="1" spans="1:9">
      <c r="A21" s="8" t="s">
        <v>151</v>
      </c>
      <c r="B21" s="8" t="s">
        <v>152</v>
      </c>
      <c r="C21" s="9" t="s">
        <v>153</v>
      </c>
      <c r="D21" s="10">
        <v>1</v>
      </c>
      <c r="E21" s="10">
        <v>30</v>
      </c>
      <c r="F21" s="10">
        <f t="shared" si="0"/>
        <v>30</v>
      </c>
      <c r="G21" s="10">
        <v>15</v>
      </c>
      <c r="H21" s="10">
        <f t="shared" si="1"/>
        <v>15</v>
      </c>
      <c r="I21" s="9" t="s">
        <v>154</v>
      </c>
    </row>
    <row r="22" ht="36" customHeight="1" spans="1:9">
      <c r="A22" s="8" t="s">
        <v>151</v>
      </c>
      <c r="B22" s="8" t="s">
        <v>155</v>
      </c>
      <c r="C22" s="9" t="s">
        <v>156</v>
      </c>
      <c r="D22" s="10">
        <v>1</v>
      </c>
      <c r="E22" s="10">
        <v>40</v>
      </c>
      <c r="F22" s="10">
        <f t="shared" si="0"/>
        <v>40</v>
      </c>
      <c r="G22" s="10">
        <v>22</v>
      </c>
      <c r="H22" s="10">
        <f t="shared" si="1"/>
        <v>22</v>
      </c>
      <c r="I22" s="9" t="s">
        <v>157</v>
      </c>
    </row>
    <row r="23" ht="36" customHeight="1" spans="1:9">
      <c r="A23" s="8" t="s">
        <v>158</v>
      </c>
      <c r="B23" s="8" t="s">
        <v>159</v>
      </c>
      <c r="C23" s="9" t="s">
        <v>160</v>
      </c>
      <c r="D23" s="10">
        <v>1</v>
      </c>
      <c r="E23" s="10">
        <v>10</v>
      </c>
      <c r="F23" s="10">
        <f t="shared" si="0"/>
        <v>10</v>
      </c>
      <c r="G23" s="10">
        <v>6</v>
      </c>
      <c r="H23" s="10">
        <f t="shared" si="1"/>
        <v>6</v>
      </c>
      <c r="I23" s="9" t="s">
        <v>161</v>
      </c>
    </row>
    <row r="24" ht="36" customHeight="1" spans="1:9">
      <c r="A24" s="8" t="s">
        <v>162</v>
      </c>
      <c r="B24" s="8" t="s">
        <v>163</v>
      </c>
      <c r="C24" s="9" t="s">
        <v>164</v>
      </c>
      <c r="D24" s="10">
        <v>1</v>
      </c>
      <c r="E24" s="10">
        <v>30</v>
      </c>
      <c r="F24" s="10">
        <f t="shared" si="0"/>
        <v>30</v>
      </c>
      <c r="G24" s="10">
        <v>15</v>
      </c>
      <c r="H24" s="10">
        <f t="shared" si="1"/>
        <v>15</v>
      </c>
      <c r="I24" s="9" t="s">
        <v>165</v>
      </c>
    </row>
    <row r="25" ht="36" customHeight="1" spans="1:9">
      <c r="A25" s="8" t="s">
        <v>162</v>
      </c>
      <c r="B25" s="8" t="s">
        <v>166</v>
      </c>
      <c r="C25" s="9" t="s">
        <v>167</v>
      </c>
      <c r="D25" s="10">
        <v>1</v>
      </c>
      <c r="E25" s="10">
        <v>25</v>
      </c>
      <c r="F25" s="10">
        <f t="shared" si="0"/>
        <v>25</v>
      </c>
      <c r="G25" s="10">
        <v>18</v>
      </c>
      <c r="H25" s="10">
        <f t="shared" si="1"/>
        <v>18</v>
      </c>
      <c r="I25" s="9" t="s">
        <v>168</v>
      </c>
    </row>
    <row r="26" ht="36" customHeight="1" spans="1:9">
      <c r="A26" s="8" t="s">
        <v>162</v>
      </c>
      <c r="B26" s="8" t="s">
        <v>169</v>
      </c>
      <c r="C26" s="9" t="s">
        <v>170</v>
      </c>
      <c r="D26" s="10">
        <v>1</v>
      </c>
      <c r="E26" s="10">
        <v>28</v>
      </c>
      <c r="F26" s="10">
        <f t="shared" si="0"/>
        <v>28</v>
      </c>
      <c r="G26" s="10">
        <v>16</v>
      </c>
      <c r="H26" s="10">
        <f t="shared" si="1"/>
        <v>16</v>
      </c>
      <c r="I26" s="9" t="s">
        <v>171</v>
      </c>
    </row>
    <row r="27" ht="38" customHeight="1" spans="1:9">
      <c r="A27" s="8" t="s">
        <v>172</v>
      </c>
      <c r="B27" s="8" t="s">
        <v>173</v>
      </c>
      <c r="C27" s="9" t="s">
        <v>174</v>
      </c>
      <c r="D27" s="10">
        <v>1</v>
      </c>
      <c r="E27" s="10">
        <v>12</v>
      </c>
      <c r="F27" s="10">
        <f t="shared" si="0"/>
        <v>12</v>
      </c>
      <c r="G27" s="10">
        <v>8</v>
      </c>
      <c r="H27" s="10">
        <f t="shared" si="1"/>
        <v>8</v>
      </c>
      <c r="I27" s="9" t="s">
        <v>175</v>
      </c>
    </row>
    <row r="28" ht="38" customHeight="1" spans="1:9">
      <c r="A28" s="8" t="s">
        <v>172</v>
      </c>
      <c r="B28" s="8" t="s">
        <v>176</v>
      </c>
      <c r="C28" s="9" t="s">
        <v>177</v>
      </c>
      <c r="D28" s="10">
        <v>1</v>
      </c>
      <c r="E28" s="10">
        <v>4</v>
      </c>
      <c r="F28" s="10">
        <f t="shared" si="0"/>
        <v>4</v>
      </c>
      <c r="G28" s="10">
        <v>3</v>
      </c>
      <c r="H28" s="10">
        <f t="shared" si="1"/>
        <v>3</v>
      </c>
      <c r="I28" s="9" t="s">
        <v>178</v>
      </c>
    </row>
    <row r="29" ht="38" customHeight="1" spans="1:9">
      <c r="A29" s="8" t="s">
        <v>172</v>
      </c>
      <c r="B29" s="8" t="s">
        <v>179</v>
      </c>
      <c r="C29" s="9" t="s">
        <v>180</v>
      </c>
      <c r="D29" s="10">
        <v>1</v>
      </c>
      <c r="E29" s="10">
        <v>24</v>
      </c>
      <c r="F29" s="10">
        <f t="shared" si="0"/>
        <v>24</v>
      </c>
      <c r="G29" s="10">
        <v>17</v>
      </c>
      <c r="H29" s="10">
        <f t="shared" si="1"/>
        <v>17</v>
      </c>
      <c r="I29" s="9" t="s">
        <v>181</v>
      </c>
    </row>
    <row r="30" ht="38" customHeight="1" spans="1:9">
      <c r="A30" s="8" t="s">
        <v>172</v>
      </c>
      <c r="B30" s="8" t="s">
        <v>182</v>
      </c>
      <c r="C30" s="9" t="s">
        <v>183</v>
      </c>
      <c r="D30" s="10">
        <v>1</v>
      </c>
      <c r="E30" s="10">
        <v>6</v>
      </c>
      <c r="F30" s="10">
        <f t="shared" si="0"/>
        <v>6</v>
      </c>
      <c r="G30" s="10">
        <v>4</v>
      </c>
      <c r="H30" s="10">
        <f t="shared" si="1"/>
        <v>4</v>
      </c>
      <c r="I30" s="9" t="s">
        <v>184</v>
      </c>
    </row>
    <row r="31" ht="38" customHeight="1" spans="1:9">
      <c r="A31" s="8" t="s">
        <v>185</v>
      </c>
      <c r="B31" s="8" t="s">
        <v>186</v>
      </c>
      <c r="C31" s="9" t="s">
        <v>187</v>
      </c>
      <c r="D31" s="10">
        <v>1</v>
      </c>
      <c r="E31" s="10">
        <v>3</v>
      </c>
      <c r="F31" s="10">
        <f t="shared" si="0"/>
        <v>3</v>
      </c>
      <c r="G31" s="10">
        <v>2</v>
      </c>
      <c r="H31" s="10">
        <f t="shared" si="1"/>
        <v>2</v>
      </c>
      <c r="I31" s="9" t="s">
        <v>188</v>
      </c>
    </row>
    <row r="32" ht="38" customHeight="1" spans="1:9">
      <c r="A32" s="8" t="s">
        <v>185</v>
      </c>
      <c r="B32" s="8" t="s">
        <v>189</v>
      </c>
      <c r="C32" s="9" t="s">
        <v>190</v>
      </c>
      <c r="D32" s="10">
        <v>1</v>
      </c>
      <c r="E32" s="10">
        <v>9</v>
      </c>
      <c r="F32" s="10">
        <f t="shared" si="0"/>
        <v>9</v>
      </c>
      <c r="G32" s="10">
        <v>6</v>
      </c>
      <c r="H32" s="10">
        <f t="shared" si="1"/>
        <v>6</v>
      </c>
      <c r="I32" s="9" t="s">
        <v>191</v>
      </c>
    </row>
  </sheetData>
  <autoFilter xmlns:etc="http://www.wps.cn/officeDocument/2017/etCustomData" ref="A4:I32" etc:filterBottomFollowUsedRange="0">
    <extLst/>
  </autoFilter>
  <mergeCells count="2">
    <mergeCell ref="A1:I1"/>
    <mergeCell ref="A2:I2"/>
  </mergeCells>
  <pageMargins left="0.7" right="0.7" top="0.75" bottom="0.75" header="0.3" footer="0.3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9"/>
  <sheetViews>
    <sheetView showGridLines="0" workbookViewId="0">
      <pane ySplit="2" topLeftCell="A3" activePane="bottomLeft" state="frozen"/>
      <selection/>
      <selection pane="bottomLeft" activeCell="A1" sqref="A1:D1"/>
    </sheetView>
  </sheetViews>
  <sheetFormatPr defaultColWidth="9" defaultRowHeight="14.25" outlineLevelCol="3"/>
  <cols>
    <col min="1" max="1" width="20" style="1" customWidth="1"/>
    <col min="2" max="2" width="62" style="1" customWidth="1"/>
    <col min="3" max="3" width="36" style="1" customWidth="1"/>
    <col min="4" max="4" width="46" style="1" customWidth="1"/>
  </cols>
  <sheetData>
    <row r="1" ht="20" customHeight="1" spans="1:4">
      <c r="A1" s="2" t="s">
        <v>192</v>
      </c>
    </row>
    <row r="3" spans="1:4">
      <c r="A3" s="3" t="s">
        <v>193</v>
      </c>
      <c r="B3" s="3" t="s">
        <v>194</v>
      </c>
      <c r="C3" s="3" t="s">
        <v>195</v>
      </c>
      <c r="D3" s="3" t="s">
        <v>196</v>
      </c>
    </row>
    <row r="4" ht="42" customHeight="1" spans="1:4">
      <c r="A4" s="4" t="s">
        <v>197</v>
      </c>
      <c r="B4" s="4" t="s">
        <v>198</v>
      </c>
      <c r="C4" s="4" t="s">
        <v>199</v>
      </c>
      <c r="D4" s="4" t="s">
        <v>200</v>
      </c>
    </row>
    <row r="5" ht="42" customHeight="1" spans="1:4">
      <c r="A5" s="4" t="s">
        <v>201</v>
      </c>
      <c r="B5" s="4" t="s">
        <v>202</v>
      </c>
      <c r="C5" s="4" t="s">
        <v>203</v>
      </c>
      <c r="D5" s="4" t="s">
        <v>204</v>
      </c>
    </row>
    <row r="6" ht="42" customHeight="1" spans="1:4">
      <c r="A6" s="4" t="s">
        <v>97</v>
      </c>
      <c r="B6" s="4" t="s">
        <v>205</v>
      </c>
      <c r="C6" s="4" t="s">
        <v>206</v>
      </c>
      <c r="D6" s="4" t="s">
        <v>207</v>
      </c>
    </row>
    <row r="7" ht="42" customHeight="1" spans="1:4">
      <c r="A7" s="4" t="s">
        <v>103</v>
      </c>
      <c r="B7" s="4" t="s">
        <v>208</v>
      </c>
      <c r="C7" s="4" t="s">
        <v>209</v>
      </c>
      <c r="D7" s="4" t="s">
        <v>210</v>
      </c>
    </row>
    <row r="8" ht="42" customHeight="1" spans="1:4">
      <c r="A8" s="4" t="s">
        <v>24</v>
      </c>
      <c r="B8" s="4" t="s">
        <v>211</v>
      </c>
      <c r="C8" s="4" t="s">
        <v>212</v>
      </c>
      <c r="D8" s="4" t="s">
        <v>213</v>
      </c>
    </row>
    <row r="9" ht="42" customHeight="1" spans="1:4">
      <c r="A9" s="4" t="s">
        <v>214</v>
      </c>
      <c r="B9" s="4" t="s">
        <v>215</v>
      </c>
      <c r="C9" s="4" t="s">
        <v>216</v>
      </c>
      <c r="D9" s="4" t="s">
        <v>217</v>
      </c>
    </row>
    <row r="10" ht="42" customHeight="1" spans="1:4">
      <c r="A10" s="4" t="s">
        <v>218</v>
      </c>
      <c r="B10" s="4" t="s">
        <v>219</v>
      </c>
      <c r="C10" s="4" t="s">
        <v>220</v>
      </c>
      <c r="D10" s="4" t="s">
        <v>221</v>
      </c>
    </row>
    <row r="11" ht="42" customHeight="1" spans="1:4">
      <c r="A11" s="4" t="s">
        <v>222</v>
      </c>
      <c r="B11" s="4" t="s">
        <v>223</v>
      </c>
      <c r="C11" s="4" t="s">
        <v>224</v>
      </c>
      <c r="D11" s="4" t="s">
        <v>225</v>
      </c>
    </row>
    <row r="12" ht="42" customHeight="1" spans="1:4">
      <c r="A12" s="4" t="s">
        <v>226</v>
      </c>
      <c r="B12" s="4" t="s">
        <v>227</v>
      </c>
      <c r="C12" s="4" t="s">
        <v>228</v>
      </c>
      <c r="D12" s="4" t="s">
        <v>229</v>
      </c>
    </row>
    <row r="13" ht="42" customHeight="1" spans="1:4">
      <c r="A13" t="s">
        <v>230</v>
      </c>
      <c r="B13" t="s">
        <v>231</v>
      </c>
      <c r="C13" t="s">
        <v>232</v>
      </c>
      <c r="D13" t="s">
        <v>233</v>
      </c>
    </row>
    <row r="14" ht="15" spans="1:4">
      <c r="A14" s="5" t="s">
        <v>234</v>
      </c>
    </row>
    <row r="15" ht="15" spans="1:4">
      <c r="A15" s="3" t="s">
        <v>235</v>
      </c>
      <c r="B15" s="3" t="s">
        <v>236</v>
      </c>
      <c r="C15" s="3" t="s">
        <v>237</v>
      </c>
      <c r="D15" s="3" t="s">
        <v>4</v>
      </c>
    </row>
    <row r="16" ht="34" customHeight="1" spans="1:4">
      <c r="A16" s="4" t="s">
        <v>238</v>
      </c>
      <c r="B16" s="4" t="s">
        <v>239</v>
      </c>
      <c r="C16" s="4" t="s">
        <v>240</v>
      </c>
      <c r="D16" s="4" t="s">
        <v>241</v>
      </c>
    </row>
    <row r="17" ht="34" customHeight="1" spans="1:4">
      <c r="A17" s="4" t="s">
        <v>242</v>
      </c>
      <c r="B17" s="4" t="s">
        <v>243</v>
      </c>
      <c r="C17" s="4" t="s">
        <v>244</v>
      </c>
      <c r="D17" s="4" t="s">
        <v>245</v>
      </c>
    </row>
    <row r="18" ht="34" customHeight="1" spans="1:4">
      <c r="A18" s="4" t="s">
        <v>246</v>
      </c>
      <c r="B18" s="4" t="s">
        <v>247</v>
      </c>
      <c r="C18" s="4" t="s">
        <v>248</v>
      </c>
      <c r="D18" s="4" t="s">
        <v>249</v>
      </c>
    </row>
    <row r="19" ht="34" customHeight="1" spans="1:4">
      <c r="A19" s="4" t="s">
        <v>250</v>
      </c>
      <c r="B19" s="4" t="s">
        <v>251</v>
      </c>
      <c r="C19" s="4" t="s">
        <v>252</v>
      </c>
      <c r="D19" s="4" t="s">
        <v>253</v>
      </c>
    </row>
  </sheetData>
  <mergeCells count="2">
    <mergeCell ref="A1:D1"/>
    <mergeCell ref="A14:D14"/>
  </mergeCells>
  <pageMargins left="0.7" right="0.7" top="0.75" bottom="0.75" header="0.3" footer="0.3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成本总览</vt:lpstr>
      <vt:lpstr>方案对比</vt:lpstr>
      <vt:lpstr>典型BOM</vt:lpstr>
      <vt:lpstr>假设说明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RK3506 WiFi 智能采集终端 eMMC与小屏成本对比</dc:title>
  <dc:subject>RK3506 USB MSC/Printer 报告网关工程成本估算</dc:subject>
  <dc:creator>聚垒科技</dc:creator>
  <cp:lastModifiedBy>Plain.</cp:lastModifiedBy>
  <dcterms:created xsi:type="dcterms:W3CDTF">2026-07-16T03:51:00Z</dcterms:created>
  <dcterms:modified xsi:type="dcterms:W3CDTF">2026-07-16T08:30:43Z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FEEE3D51B7594FA981028941BA0306CB_12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