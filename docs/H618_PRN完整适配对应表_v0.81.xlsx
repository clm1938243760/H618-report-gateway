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8b14b2d10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178786594bf4cb0"/>
    <x:sheet xmlns:r="http://schemas.openxmlformats.org/officeDocument/2006/relationships" name="协议总表" sheetId="2" r:id="Rda84869e4b9f41c2"/>
    <x:sheet xmlns:r="http://schemas.openxmlformats.org/officeDocument/2006/relationships" name="型号驱动对应" sheetId="3" r:id="R1b901786acab4fbe"/>
    <x:sheet xmlns:r="http://schemas.openxmlformats.org/officeDocument/2006/relationships" name="实测证据" sheetId="4" r:id="R973f8f72ecba4052"/>
    <x:sheet xmlns:r="http://schemas.openxmlformats.org/officeDocument/2006/relationships" name="依赖与授权" sheetId="5" r:id="R989424637bd84e04"/>
    <x:sheet xmlns:r="http://schemas.openxmlformats.org/officeDocument/2006/relationships" name="现场选型规则" sheetId="6" r:id="Rde196a98271c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22">
    <x:font>
      <x:sz val="11"/>
      <x:name val="Carlito"/>
    </x:font>
    <x:font>
      <x:b/>
      <x:sz val="18"/>
      <x:color rgb="FFFFFFFF"/>
      <x:name val="Carlito"/>
    </x:font>
    <x:font>
      <x:sz val="10"/>
      <x:color rgb="FF163A5F"/>
      <x:name val="Carlito"/>
    </x:font>
    <x:font>
      <x:b/>
      <x:sz val="10"/>
      <x:color rgb="FFFFFFFF"/>
      <x:name val="Carlito"/>
    </x:font>
    <x:font>
      <x:sz val="9"/>
      <x:color rgb="FF20303C"/>
      <x:name val="Carlito"/>
    </x:font>
    <x:font>
      <x:b/>
      <x:sz val="9"/>
      <x:color rgb="FF163A5F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b/>
      <x:sz val="18"/>
      <x:color rgb="FF1F5D8F"/>
      <x:name val="Carlito"/>
    </x:font>
    <x:font>
      <x:sz val="11"/>
      <x:color rgb="FF6B5300"/>
      <x:name val="Carlito"/>
    </x:font>
    <x:font>
      <x:b/>
      <x:sz val="18"/>
      <x:color rgb="FFFFFFFF"/>
      <x:name val="Microsoft YaHei"/>
    </x:font>
    <x:font>
      <x:sz val="10"/>
      <x:color rgb="FF163A5F"/>
      <x:name val="Microsoft YaHei"/>
    </x:font>
    <x:font>
      <x:sz val="11"/>
      <x:name val="Microsoft YaHei"/>
    </x:font>
    <x:font>
      <x:b/>
      <x:sz val="10"/>
      <x:color rgb="FFFFFFFF"/>
      <x:name val="Microsoft YaHei"/>
    </x:font>
    <x:font>
      <x:b/>
      <x:sz val="9"/>
      <x:color rgb="FF163A5F"/>
      <x:name val="Microsoft YaHei"/>
    </x:font>
    <x:font>
      <x:sz val="9"/>
      <x:color rgb="FF20303C"/>
      <x:name val="Microsoft YaHei"/>
    </x:font>
    <x:font>
      <x:b/>
      <x:sz val="11"/>
      <x:color rgb="FFFFFFFF"/>
      <x:name val="Microsoft YaHei"/>
    </x:font>
    <x:font>
      <x:b/>
      <x:sz val="11"/>
      <x:color rgb="FF163A5F"/>
      <x:name val="Microsoft YaHei"/>
    </x:font>
    <x:font>
      <x:b/>
      <x:sz val="18"/>
      <x:color rgb="FF1F5D8F"/>
      <x:name val="Microsoft YaHei"/>
    </x:font>
    <x:font>
      <x:sz val="11"/>
      <x:color rgb="FF6B5300"/>
      <x:name val="Microsoft YaHei"/>
    </x:font>
    <x:font>
      <x:b/>
      <x:sz val="12"/>
      <x:color rgb="FF1F5D8F"/>
      <x:name val="Carlito"/>
    </x:font>
    <x:font>
      <x:b/>
      <x:sz val="12"/>
      <x:color rgb="FF1F5D8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1F5D8F"/>
      </x:patternFill>
    </x:fill>
    <x:fill>
      <x:patternFill patternType="solid">
        <x:fgColor rgb="FFF7F9FB"/>
      </x:patternFill>
    </x:fill>
    <x:fill>
      <x:patternFill patternType="solid">
        <x:fgColor rgb="FFFFF8E5"/>
      </x:patternFill>
    </x:fill>
  </x:fills>
  <x:borders count="17">
    <x:border/>
    <x:border>
      <x:left style="thin">
        <x:color rgb="FFC9D4DE"/>
      </x:left>
      <x:right style="thin">
        <x:color rgb="FFC9D4DE"/>
      </x:right>
      <x:top style="thin">
        <x:color rgb="FFC9D4DE"/>
      </x:top>
      <x:bottom style="thin">
        <x:color rgb="FFC9D4DE"/>
      </x:bottom>
    </x:border>
    <x:border>
      <x:bottom style="thin">
        <x:color rgb="FFDFE6EC"/>
      </x:bottom>
    </x:border>
    <x:border>
      <x:top style="thin">
        <x:color rgb="FFDFE6EC"/>
      </x:top>
      <x:bottom style="thin">
        <x:color rgb="FFDFE6EC"/>
      </x:bottom>
    </x:border>
    <x:border>
      <x:top style="thin">
        <x:color rgb="FFDFE6EC"/>
      </x:top>
      <x:bottom style="thin">
        <x:color rgb="FFC9D4DE"/>
      </x:bottom>
    </x:border>
    <x:border>
      <x:left style="thin">
        <x:color rgb="FFC9D4DE"/>
      </x:left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left style="thin">
        <x:color rgb="FFC9D4DE"/>
      </x:left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left style="thin">
        <x:color rgb="FFE4C76A"/>
      </x:left>
      <x:top style="thin">
        <x:color rgb="FFE4C76A"/>
      </x:top>
    </x:border>
    <x:border>
      <x:top style="thin">
        <x:color rgb="FFE4C76A"/>
      </x:top>
    </x:border>
    <x:border>
      <x:right style="thin">
        <x:color rgb="FFE4C76A"/>
      </x:right>
      <x:top style="thin">
        <x:color rgb="FFE4C76A"/>
      </x:top>
    </x:border>
    <x:border>
      <x:left style="thin">
        <x:color rgb="FFE4C76A"/>
      </x:left>
    </x:border>
    <x:border>
      <x:right style="thin">
        <x:color rgb="FFE4C76A"/>
      </x:right>
    </x:border>
    <x:border>
      <x:left style="thin">
        <x:color rgb="FFE4C76A"/>
      </x:left>
      <x:bottom style="thin">
        <x:color rgb="FFE4C76A"/>
      </x:bottom>
    </x:border>
    <x:border>
      <x:bottom style="thin">
        <x:color rgb="FFE4C76A"/>
      </x:bottom>
    </x:border>
    <x:border>
      <x:right style="thin">
        <x:color rgb="FFE4C76A"/>
      </x:right>
      <x:bottom style="thin">
        <x:color rgb="FFE4C76A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5" xfId="0" applyNumberFormat="1" applyFont="1" applyFill="1" applyBorder="1" applyAlignment="1">
      <x:alignment wrapText="1"/>
    </x:xf>
    <x:xf numFmtId="0" fontId="9" fillId="6" borderId="16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16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center"/>
    </x:xf>
    <x:xf numFmtId="0" fontId="17" fillId="5" borderId="5" xfId="0" applyNumberFormat="1" applyFont="1" applyFill="1" applyBorder="1" applyAlignment="1">
      <x:alignment horizontal="center" vertical="center"/>
    </x:xf>
    <x:xf numFmtId="0" fontId="17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8" fillId="5" borderId="8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9" fillId="6" borderId="9" xfId="0" applyNumberFormat="1" applyFont="1" applyFill="1" applyBorder="1" applyAlignment="1">
      <x:alignment vertical="center" wrapText="1"/>
    </x:xf>
    <x:xf numFmtId="0" fontId="19" fillId="6" borderId="10" xfId="0" applyNumberFormat="1" applyFont="1" applyFill="1" applyBorder="1" applyAlignment="1">
      <x:alignment vertical="center" wrapText="1"/>
    </x:xf>
    <x:xf numFmtId="0" fontId="19" fillId="6" borderId="11" xfId="0" applyNumberFormat="1" applyFont="1" applyFill="1" applyBorder="1" applyAlignment="1">
      <x:alignment vertical="center" wrapText="1"/>
    </x:xf>
    <x:xf numFmtId="0" fontId="19" fillId="6" borderId="12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borderId="13" xfId="0" applyNumberFormat="1" applyFont="1" applyFill="1" applyBorder="1" applyAlignment="1">
      <x:alignment vertical="center" wrapText="1"/>
    </x:xf>
    <x:xf numFmtId="0" fontId="19" fillId="6" borderId="14" xfId="0" applyNumberFormat="1" applyFont="1" applyFill="1" applyBorder="1" applyAlignment="1">
      <x:alignment vertical="center" wrapText="1"/>
    </x:xf>
    <x:xf numFmtId="0" fontId="19" fillId="6" borderId="15" xfId="0" applyNumberFormat="1" applyFont="1" applyFill="1" applyBorder="1" applyAlignment="1">
      <x:alignment vertical="center" wrapText="1"/>
    </x:xf>
    <x:xf numFmtId="0" fontId="19" fillId="6" borderId="16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15" fillId="0" borderId="2" xfId="0" applyNumberFormat="1" applyFont="1" applyFill="1" applyBorder="1" applyAlignment="1">
      <x:alignment horizontal="center" vertical="top" wrapText="1"/>
    </x:xf>
    <x:xf numFmtId="0" fontId="15" fillId="0" borderId="3" xfId="0" applyNumberFormat="1" applyFont="1" applyFill="1" applyBorder="1" applyAlignment="1">
      <x:alignment horizontal="center" vertical="top" wrapText="1"/>
    </x:xf>
    <x:xf numFmtId="0" fontId="15" fillId="0" borderId="4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0" fontId="15" fillId="0" borderId="2" xfId="0" applyNumberFormat="1" applyFont="1" applyFill="1" applyBorder="1" applyAlignment="1">
      <x:alignment vertical="top" wrapText="1"/>
    </x:xf>
    <x:xf numFmtId="201" fontId="15" fillId="0" borderId="2" xfId="0" applyNumberFormat="1" applyFont="1" applyFill="1" applyBorder="1" applyAlignment="1">
      <x:alignment vertical="top" wrapText="1"/>
    </x:xf>
    <x:xf numFmtId="202" fontId="15" fillId="0" borderId="2" xfId="0" applyNumberFormat="1" applyFont="1" applyFill="1" applyBorder="1" applyAlignment="1">
      <x:alignment vertical="top" wrapText="1"/>
    </x:xf>
    <x:xf numFmtId="200" fontId="15" fillId="0" borderId="3" xfId="0" applyNumberFormat="1" applyFont="1" applyFill="1" applyBorder="1" applyAlignment="1">
      <x:alignment vertical="top" wrapText="1"/>
    </x:xf>
    <x:xf numFmtId="201" fontId="15" fillId="0" borderId="3" xfId="0" applyNumberFormat="1" applyFont="1" applyFill="1" applyBorder="1" applyAlignment="1">
      <x:alignment vertical="top" wrapText="1"/>
    </x:xf>
    <x:xf numFmtId="202" fontId="15" fillId="0" borderId="3" xfId="0" applyNumberFormat="1" applyFont="1" applyFill="1" applyBorder="1" applyAlignment="1">
      <x:alignment vertical="top" wrapText="1"/>
    </x:xf>
    <x:xf numFmtId="200" fontId="15" fillId="0" borderId="4" xfId="0" applyNumberFormat="1" applyFont="1" applyFill="1" applyBorder="1" applyAlignment="1">
      <x:alignment vertical="top" wrapText="1"/>
    </x:xf>
    <x:xf numFmtId="201" fontId="15" fillId="0" borderId="4" xfId="0" applyNumberFormat="1" applyFont="1" applyFill="1" applyBorder="1" applyAlignment="1">
      <x:alignment vertical="top" wrapText="1"/>
    </x:xf>
    <x:xf numFmtId="202" fontId="15" fillId="0" borderId="4" xfId="0" applyNumberFormat="1" applyFont="1" applyFill="1" applyBorder="1" applyAlignment="1">
      <x:alignment vertical="top" wrapText="1"/>
    </x:xf>
    <x:xf numFmtId="0" fontId="20" fillId="0" borderId="2" xfId="0" applyNumberFormat="1" applyFont="1" applyFill="1" applyBorder="1" applyAlignment="1">
      <x:alignment vertical="top" wrapText="1"/>
    </x:xf>
    <x:xf numFmtId="0" fontId="20" fillId="0" borderId="3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2" xfId="0" applyNumberFormat="1" applyFont="1" applyFill="1" applyBorder="1" applyAlignment="1">
      <x:alignment horizontal="center" vertical="top" wrapText="1"/>
    </x:xf>
    <x:xf numFmtId="0" fontId="20" fillId="0" borderId="3" xfId="0" applyNumberFormat="1" applyFont="1" applyFill="1" applyBorder="1" applyAlignment="1">
      <x:alignment horizontal="center" vertical="top" wrapText="1"/>
    </x:xf>
    <x:xf numFmtId="0" fontId="20" fillId="0" borderId="4" xfId="0" applyNumberFormat="1" applyFont="1" applyFill="1" applyBorder="1" applyAlignment="1">
      <x:alignment horizontal="center" vertical="top" wrapText="1"/>
    </x:xf>
    <x:xf numFmtId="0" fontId="20" fillId="0" borderId="2" xfId="0" applyNumberFormat="1" applyFont="1" applyFill="1" applyBorder="1" applyAlignment="1">
      <x:alignment horizontal="center" vertical="center" wrapText="1"/>
    </x:xf>
    <x:xf numFmtId="0" fontId="20" fillId="0" borderId="3" xfId="0" applyNumberFormat="1" applyFont="1" applyFill="1" applyBorder="1" applyAlignment="1">
      <x:alignment horizontal="center" vertical="center" wrapText="1"/>
    </x:xf>
    <x:xf numFmtId="0" fontId="20" fillId="0" borderId="4" xfId="0" applyNumberFormat="1" applyFont="1" applyFill="1" applyBorder="1" applyAlignment="1">
      <x:alignment horizontal="center" vertical="center" wrapText="1"/>
    </x:xf>
    <x:xf numFmtId="0" fontId="21" fillId="0" borderId="2" xfId="0" applyNumberFormat="1" applyFont="1" applyFill="1" applyBorder="1" applyAlignment="1">
      <x:alignment horizontal="center" vertical="center" wrapText="1"/>
    </x:xf>
    <x:xf numFmtId="0" fontId="21" fillId="0" borderId="3" xfId="0" applyNumberFormat="1" applyFont="1" applyFill="1" applyBorder="1" applyAlignment="1">
      <x:alignment horizontal="center" vertical="center" wrapText="1"/>
    </x:xf>
    <x:xf numFmtId="0" fontId="21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ont>
        <x:b/>
        <x:color rgb="FF1D6B36"/>
      </x:font>
      <x:fill>
        <x:patternFill patternType="solid">
          <x:bgColor rgb="FFDDF2E3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E2F2A"/>
      </x:font>
      <x:fill>
        <x:patternFill patternType="solid">
          <x:bgColor rgb="FFFCE1DF"/>
        </x:patternFill>
      </x:fill>
    </x:dxf>
    <x:dxf>
      <x:font>
        <x:b/>
        <x:color rgb="FF4F5B66"/>
      </x:font>
      <x:fill>
        <x:patternFill patternType="solid">
          <x:bgColor rgb="FFE9EDF1"/>
        </x:patternFill>
      </x:fill>
    </x:dxf>
    <x:dxf>
      <x:font>
        <x:b/>
        <x:color rgb="FF1D6B36"/>
      </x:font>
      <x:fill>
        <x:patternFill patternType="solid">
          <x:bgColor rgb="FFDDF2E3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E2F2A"/>
      </x:font>
      <x:fill>
        <x:patternFill patternType="solid">
          <x:bgColor rgb="FFFCE1DF"/>
        </x:patternFill>
      </x:fill>
    </x:dxf>
    <x:dxf>
      <x:font>
        <x:b/>
        <x:color rgb="FF4F5B66"/>
      </x:font>
      <x:fill>
        <x:patternFill patternType="solid">
          <x:bgColor rgb="FFE9EDF1"/>
        </x:patternFill>
      </x:fill>
    </x:dxf>
    <x:dxf>
      <x:font>
        <x:b/>
        <x:color rgb="FF1D6B36"/>
      </x:font>
      <x:fill>
        <x:patternFill patternType="solid">
          <x:bgColor rgb="FFDDF2E3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E2F2A"/>
      </x:font>
      <x:fill>
        <x:patternFill patternType="solid">
          <x:bgColor rgb="FFFCE1DF"/>
        </x:patternFill>
      </x:fill>
    </x:dxf>
    <x:dxf>
      <x:font>
        <x:b/>
        <x:color rgb="FF4F5B66"/>
      </x:font>
      <x:fill>
        <x:patternFill patternType="solid">
          <x:bgColor rgb="FFE9EDF1"/>
        </x:patternFill>
      </x:fill>
    </x:dxf>
    <x:dxf>
      <x:font>
        <x:b/>
        <x:color rgb="FF1D6B36"/>
      </x:font>
      <x:fill>
        <x:patternFill patternType="solid">
          <x:bgColor rgb="FFDDF2E3"/>
        </x:patternFill>
      </x:fill>
    </x:dxf>
    <x:dxf>
      <x:font>
        <x:b/>
        <x:color rgb="FF9E2F2A"/>
      </x:font>
      <x:fill>
        <x:patternFill patternType="solid">
          <x:bgColor rgb="FFFCE1DF"/>
        </x:patternFill>
      </x:fill>
    </x:dxf>
    <x:dxf>
      <x:font>
        <x:b/>
        <x:color rgb="FF1D6B36"/>
      </x:font>
      <x:fill>
        <x:patternFill patternType="solid">
          <x:bgColor rgb="FFDDF2E3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E2F2A"/>
      </x:font>
      <x:fill>
        <x:patternFill patternType="solid">
          <x:bgColor rgb="FFFCE1DF"/>
        </x:patternFill>
      </x:fill>
    </x:dxf>
    <x:dxf>
      <x:font>
        <x:b/>
        <x:color rgb="FF1D6B36"/>
      </x:font>
      <x:fill>
        <x:patternFill patternType="solid">
          <x:bgColor rgb="FFDD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a435d54fd4d21" /><Relationship Type="http://schemas.openxmlformats.org/officeDocument/2006/relationships/theme" Target="/xl/theme/theme1.xml" Id="Rb4dfe8c393b14110" /><Relationship Type="http://schemas.openxmlformats.org/officeDocument/2006/relationships/sharedStrings" Target="/xl/sharedStrings.xml" Id="R1868d77f85c74d79" /><Relationship Type="http://schemas.openxmlformats.org/officeDocument/2006/relationships/worksheet" Target="/xl/worksheets/sheet1.xml" Id="R2178786594bf4cb0" /><Relationship Type="http://schemas.openxmlformats.org/officeDocument/2006/relationships/worksheet" Target="/xl/worksheets/sheet2.xml" Id="Rda84869e4b9f41c2" /><Relationship Type="http://schemas.openxmlformats.org/officeDocument/2006/relationships/worksheet" Target="/xl/worksheets/sheet3.xml" Id="R1b901786acab4fbe" /><Relationship Type="http://schemas.openxmlformats.org/officeDocument/2006/relationships/worksheet" Target="/xl/worksheets/sheet4.xml" Id="R973f8f72ecba4052" /><Relationship Type="http://schemas.openxmlformats.org/officeDocument/2006/relationships/worksheet" Target="/xl/worksheets/sheet5.xml" Id="R989424637bd84e04" /><Relationship Type="http://schemas.openxmlformats.org/officeDocument/2006/relationships/worksheet" Target="/xl/worksheets/sheet6.xml" Id="Rde196a98271c48af" /><Relationship Type="http://schemas.microsoft.com/office/2017/10/relationships/person" Target="/xl/persons/person.xml" Id="Rb4e6c57e4c43493c" /></Relationships>
</file>

<file path=xl/persons/person.xml><?xml version="1.0" encoding="utf-8"?>
<xltc:personList xmlns:xltc="http://schemas.microsoft.com/office/spreadsheetml/2018/threadedcomments">
  <xltc:person displayName="聚垒科技" id="{C1358B1C-F5C4-46AC-8081-D6271CA63276}"/>
</xltc:personList>
</file>

<file path=xl/tables/table1.xml><?xml version="1.0" encoding="utf-8"?>
<x:table xmlns:x="http://schemas.openxmlformats.org/spreadsheetml/2006/main" id="1" name="ProtocolMatrixTable" displayName="ProtocolMatrixTable" ref="A5:O45" headerRowCount="1" totalsRowCount="0" totalsRowShown="0">
  <x:tableColumns count="15">
    <x:tableColumn id="1" name="分组"/>
    <x:tableColumn id="2" name="编号"/>
    <x:tableColumn id="3" name="PRN内部格式"/>
    <x:tableColumn id="4" name="状态"/>
    <x:tableColumn id="5" name="输出行为"/>
    <x:tableColumn id="6" name="转换/处理链"/>
    <x:tableColumn id="7" name="验证等级"/>
    <x:tableColumn id="8" name="代表驱动"/>
    <x:tableColumn id="9" name="代表打印机/系列"/>
    <x:tableColumn id="10" name="结束判定"/>
    <x:tableColumn id="11" name="必要配置"/>
    <x:tableColumn id="12" name="主要限制"/>
    <x:tableColumn id="13" name="现场优先级"/>
    <x:tableColumn id="14" name="授权/分发"/>
    <x:tableColumn id="15" name="v0.81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nterModelMappingTable" displayName="PrinterModelMappingTable" ref="A5:J50" headerRowCount="1" totalsRowCount="0" totalsRowShown="0">
  <x:tableColumns count="10">
    <x:tableColumn id="1" name="厂商"/>
    <x:tableColumn id="2" name="型号/系列"/>
    <x:tableColumn id="3" name="推荐或实际驱动/语言"/>
    <x:tableColumn id="4" name="对应编号"/>
    <x:tableColumn id="5" name="网关状态"/>
    <x:tableColumn id="6" name="转换链"/>
    <x:tableColumn id="7" name="页面/Profile"/>
    <x:tableColumn id="8" name="实测/依据"/>
    <x:tableColumn id="9" name="可替代驱动"/>
    <x:tableColumn id="10" name="现场注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EvidenceTable" displayName="ValidationEvidenceTable" ref="A5:J32" headerRowCount="1" totalsRowCount="0" totalsRowShown="0">
  <x:tableColumns count="10">
    <x:tableColumn id="1" name="编号"/>
    <x:tableColumn id="2" name="测试对象"/>
    <x:tableColumn id="3" name="编码链/来源"/>
    <x:tableColumn id="4" name="输入字节"/>
    <x:tableColumn id="5" name="输入SHA-256"/>
    <x:tableColumn id="6" name="PDF页数"/>
    <x:tableColumn id="7" name="K2B转换秒"/>
    <x:tableColumn id="8" name="页面/视觉检查"/>
    <x:tableColumn id="9" name="结论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timeDependencyTable" displayName="RuntimeDependencyTable" ref="A5:H19" headerRowCount="1" totalsRowCount="0" totalsRowShown="0">
  <x:tableColumns count="8">
    <x:tableColumn id="1" name="组件"/>
    <x:tableColumn id="2" name="版本"/>
    <x:tableColumn id="3" name="板端路径"/>
    <x:tableColumn id="4" name="作用"/>
    <x:tableColumn id="5" name="覆盖编号"/>
    <x:tableColumn id="6" name="实板状态"/>
    <x:tableColumn id="7" name="许可/来源"/>
    <x:tableColumn id="8" name="部署与量产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DecisionTable" displayName="FieldDecisionTable" ref="A5:F17" headerRowCount="1" totalsRowCount="0" totalsRowShown="0">
  <x:tableColumns count="6">
    <x:tableColumn id="1" name="顺序"/>
    <x:tableColumn id="2" name="现场条件"/>
    <x:tableColumn id="3" name="推荐动作"/>
    <x:tableColumn id="4" name="板端处理"/>
    <x:tableColumn id="5" name="风险"/>
    <x:tableColumn id="6" name="验收/失败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6a41cfb25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80d15e3709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9aa91e95940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8bb7147e6040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aa9e7349d844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6" hidden="0" customWidth="1"/>
    <x:col min="5" max="5" width="16" hidden="0" customWidth="1"/>
    <x:col min="7" max="7" width="16" hidden="0" customWidth="1"/>
    <x:col min="9" max="9" width="16" hidden="0" customWidth="1"/>
    <x:col min="4" max="4" width="14" hidden="0" customWidth="1"/>
    <x:col min="6" max="6" width="14" hidden="0" customWidth="1"/>
    <x:col min="8" max="8" width="14" hidden="0" customWidth="1"/>
    <x:col min="10" max="10" width="14" hidden="0" customWidth="1"/>
  </x:cols>
  <x:sheetData>
    <x:row r="1" ht="34" customHeight="1">
      <x:c r="A1" s="74" t="str">
        <x:v>H618 报告网关 PRN 完整适配对应表</x:v>
      </x:c>
      <x:c r="B1" s="74" t="str">
        <x:v>H618 报告网关 PRN 完整适配对应表</x:v>
      </x:c>
      <x:c r="C1" s="74" t="str">
        <x:v>H618 报告网关 PRN 完整适配对应表</x:v>
      </x:c>
      <x:c r="D1" s="74" t="str">
        <x:v>H618 报告网关 PRN 完整适配对应表</x:v>
      </x:c>
      <x:c r="E1" s="74" t="str">
        <x:v>H618 报告网关 PRN 完整适配对应表</x:v>
      </x:c>
      <x:c r="F1" s="74" t="str">
        <x:v>H618 报告网关 PRN 完整适配对应表</x:v>
      </x:c>
      <x:c r="G1" s="74" t="str">
        <x:v>H618 报告网关 PRN 完整适配对应表</x:v>
      </x:c>
      <x:c r="H1" s="74" t="str">
        <x:v>H618 报告网关 PRN 完整适配对应表</x:v>
      </x:c>
      <x:c r="I1" s="74" t="str">
        <x:v>H618 报告网关 PRN 完整适配对应表</x:v>
      </x:c>
      <x:c r="J1" s="74" t="str">
        <x:v>H618 报告网关 PRN 完整适配对应表</x:v>
      </x:c>
    </x:row>
    <x:row r="2" ht="30" customHeight="1">
      <x:c r="A2" s="75" t="str">
        <x:v>发布基线 v0.81（应用0.81.0）｜K2B H618 2GB+16GB｜生成日期 2026-08-21｜结论以实际打印驱动产生的PRN语言为准</x:v>
      </x:c>
      <x:c r="B2" s="75" t="str">
        <x:v>发布基线 v0.81（应用0.81.0）｜K2B H618 2GB+16GB｜生成日期 2026-08-21｜结论以实际打印驱动产生的PRN语言为准</x:v>
      </x:c>
      <x:c r="C2" s="75" t="str">
        <x:v>发布基线 v0.81（应用0.81.0）｜K2B H618 2GB+16GB｜生成日期 2026-08-21｜结论以实际打印驱动产生的PRN语言为准</x:v>
      </x:c>
      <x:c r="D2" s="75" t="str">
        <x:v>发布基线 v0.81（应用0.81.0）｜K2B H618 2GB+16GB｜生成日期 2026-08-21｜结论以实际打印驱动产生的PRN语言为准</x:v>
      </x:c>
      <x:c r="E2" s="75" t="str">
        <x:v>发布基线 v0.81（应用0.81.0）｜K2B H618 2GB+16GB｜生成日期 2026-08-21｜结论以实际打印驱动产生的PRN语言为准</x:v>
      </x:c>
      <x:c r="F2" s="75" t="str">
        <x:v>发布基线 v0.81（应用0.81.0）｜K2B H618 2GB+16GB｜生成日期 2026-08-21｜结论以实际打印驱动产生的PRN语言为准</x:v>
      </x:c>
      <x:c r="G2" s="75" t="str">
        <x:v>发布基线 v0.81（应用0.81.0）｜K2B H618 2GB+16GB｜生成日期 2026-08-21｜结论以实际打印驱动产生的PRN语言为准</x:v>
      </x:c>
      <x:c r="H2" s="75" t="str">
        <x:v>发布基线 v0.81（应用0.81.0）｜K2B H618 2GB+16GB｜生成日期 2026-08-21｜结论以实际打印驱动产生的PRN语言为准</x:v>
      </x:c>
      <x:c r="I2" s="75" t="str">
        <x:v>发布基线 v0.81（应用0.81.0）｜K2B H618 2GB+16GB｜生成日期 2026-08-21｜结论以实际打印驱动产生的PRN语言为准</x:v>
      </x:c>
      <x:c r="J2" s="75" t="str">
        <x:v>发布基线 v0.81（应用0.81.0）｜K2B H618 2GB+16GB｜生成日期 2026-08-21｜结论以实际打印驱动产生的PRN语言为准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34" customHeight="1">
      <x:c r="A4" s="77" t="str">
        <x:v>项目</x:v>
      </x:c>
      <x:c r="B4" s="77" t="str">
        <x:v>当前值</x:v>
      </x:c>
      <x:c r="C4" s="76"/>
      <x:c r="D4" s="76"/>
      <x:c r="E4" s="76"/>
      <x:c r="F4" s="76"/>
      <x:c r="G4" s="76"/>
      <x:c r="H4" s="76"/>
      <x:c r="I4" s="76"/>
      <x:c r="J4" s="76"/>
    </x:row>
    <x:row r="5">
      <x:c r="A5" s="78" t="str">
        <x:v>发布版本</x:v>
      </x:c>
      <x:c r="B5" s="79" t="str">
        <x:v>v0.81（应用0.81.0）</x:v>
      </x:c>
      <x:c r="C5" s="76"/>
      <x:c r="D5" s="76"/>
      <x:c r="E5" s="76"/>
      <x:c r="F5" s="76"/>
      <x:c r="G5" s="76"/>
      <x:c r="H5" s="76"/>
      <x:c r="I5" s="76"/>
      <x:c r="J5" s="76"/>
    </x:row>
    <x:row r="6">
      <x:c r="A6" s="80" t="str">
        <x:v>适配范围</x:v>
      </x:c>
      <x:c r="B6" s="81" t="str">
        <x:v>A01-A14、B01-B15、C01-C11</x:v>
      </x:c>
      <x:c r="C6" s="76"/>
      <x:c r="D6" s="76"/>
      <x:c r="E6" s="76"/>
      <x:c r="F6" s="76"/>
      <x:c r="G6" s="76"/>
      <x:c r="H6" s="76"/>
      <x:c r="I6" s="76"/>
      <x:c r="J6" s="76"/>
    </x:row>
    <x:row r="7">
      <x:c r="A7" s="80" t="str">
        <x:v>研发系统</x:v>
      </x:c>
      <x:c r="B7" s="81" t="str">
        <x:v>Ubuntu Noble / ARM64 / Python 3.12</x:v>
      </x:c>
      <x:c r="C7" s="76"/>
      <x:c r="D7" s="76"/>
      <x:c r="E7" s="76"/>
      <x:c r="F7" s="76"/>
      <x:c r="G7" s="76"/>
      <x:c r="H7" s="76"/>
      <x:c r="I7" s="76"/>
      <x:c r="J7" s="76"/>
    </x:row>
    <x:row r="8">
      <x:c r="A8" s="82" t="str">
        <x:v>重要原则</x:v>
      </x:c>
      <x:c r="B8" s="83" t="str">
        <x:v>打印机型号不是协议；必须以电脑实际安装驱动输出为准</x:v>
      </x:c>
      <x:c r="C8" s="76"/>
      <x:c r="D8" s="76"/>
      <x:c r="E8" s="76"/>
      <x:c r="F8" s="76"/>
      <x:c r="G8" s="76"/>
      <x:c r="H8" s="76"/>
      <x:c r="I8" s="76"/>
      <x:c r="J8" s="76"/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</x:row>
    <x:row r="10">
      <x:c r="A10" s="84" t="str">
        <x:v>覆盖统计（公式读取“协议总表”）</x:v>
      </x:c>
      <x:c r="B10" s="84" t="str">
        <x:v>覆盖统计（公式读取“协议总表”）</x:v>
      </x:c>
      <x:c r="C10" s="84" t="str">
        <x:v>覆盖统计（公式读取“协议总表”）</x:v>
      </x:c>
      <x:c r="D10" s="84" t="str">
        <x:v>覆盖统计（公式读取“协议总表”）</x:v>
      </x:c>
      <x:c r="E10" s="84" t="str">
        <x:v>覆盖统计（公式读取“协议总表”）</x:v>
      </x:c>
      <x:c r="F10" s="84" t="str">
        <x:v>覆盖统计（公式读取“协议总表”）</x:v>
      </x:c>
      <x:c r="G10" s="84" t="str">
        <x:v>覆盖统计（公式读取“协议总表”）</x:v>
      </x:c>
      <x:c r="H10" s="84" t="str">
        <x:v>覆盖统计（公式读取“协议总表”）</x:v>
      </x:c>
      <x:c r="I10" s="84" t="str">
        <x:v>覆盖统计（公式读取“协议总表”）</x:v>
      </x:c>
      <x:c r="J10" s="84" t="str">
        <x:v>覆盖统计（公式读取“协议总表”）</x:v>
      </x:c>
    </x:row>
    <x:row r="11">
      <x:c r="A11" s="85" t="str">
        <x:v>总编号</x:v>
      </x:c>
      <x:c r="B11" s="86"/>
      <x:c r="C11" s="85" t="str">
        <x:v>完整支持</x:v>
      </x:c>
      <x:c r="D11" s="86"/>
      <x:c r="E11" s="85" t="str">
        <x:v>条件支持</x:v>
      </x:c>
      <x:c r="F11" s="86"/>
      <x:c r="G11" s="85" t="str">
        <x:v>仅识别</x:v>
      </x:c>
      <x:c r="H11" s="86"/>
      <x:c r="I11" s="85" t="str">
        <x:v>历史迁移</x:v>
      </x:c>
      <x:c r="J11" s="86"/>
    </x:row>
    <x:row r="12">
      <x:c r="A12" s="87"/>
      <x:c r="B12" s="88" t="n">
        <x:f>COUNTA('协议总表'!$B$6:$B$45)</x:f>
        <x:v>40</x:v>
      </x:c>
      <x:c r="C12" s="87"/>
      <x:c r="D12" s="89" t="n">
        <x:f>COUNTIF('协议总表'!$D$6:$D$45,"完整支持")</x:f>
        <x:v>26</x:v>
      </x:c>
      <x:c r="E12" s="87"/>
      <x:c r="F12" s="89" t="n">
        <x:f>COUNTIF('协议总表'!$D$6:$D$45,"条件支持")</x:f>
        <x:v>2</x:v>
      </x:c>
      <x:c r="G12" s="87"/>
      <x:c r="H12" s="89" t="n">
        <x:f>COUNTIF('协议总表'!$D$6:$D$45,"仅识别")</x:f>
        <x:v>11</x:v>
      </x:c>
      <x:c r="I12" s="87"/>
      <x:c r="J12" s="89" t="n">
        <x:f>COUNTIF('协议总表'!$D$6:$D$45,"历史迁移")</x:f>
        <x:v>1</x:v>
      </x:c>
    </x:row>
    <x:row r="13">
      <x:c r="A13" s="76"/>
      <x:c r="B13" s="76"/>
      <x:c r="C13" s="76"/>
      <x:c r="D13" s="76"/>
      <x:c r="E13" s="76"/>
      <x:c r="F13" s="76"/>
      <x:c r="G13" s="76"/>
      <x:c r="H13" s="76"/>
      <x:c r="I13" s="76"/>
      <x:c r="J13" s="76"/>
    </x:row>
    <x:row r="14" ht="34" customHeight="1">
      <x:c r="A14" s="77" t="str">
        <x:v>状态</x:v>
      </x:c>
      <x:c r="B14" s="77" t="str">
        <x:v>含义</x:v>
      </x:c>
      <x:c r="C14" s="77" t="str">
        <x:v>是否生成PDF</x:v>
      </x:c>
      <x:c r="D14" s="77" t="str">
        <x:v>原PRN</x:v>
      </x:c>
      <x:c r="E14" s="77" t="str">
        <x:v>实施动作</x:v>
      </x:c>
      <x:c r="F14" s="76"/>
      <x:c r="G14" s="77" t="str">
        <x:v>现场优先级</x:v>
      </x:c>
      <x:c r="H14" s="77" t="str">
        <x:v>推荐协议/驱动</x:v>
      </x:c>
      <x:c r="I14" s="77" t="str">
        <x:v>原因</x:v>
      </x:c>
      <x:c r="J14" s="77" t="str">
        <x:v>失败时</x:v>
      </x:c>
    </x:row>
    <x:row r="15">
      <x:c r="A15" s="79" t="str">
        <x:v>完整支持</x:v>
      </x:c>
      <x:c r="B15" s="79" t="str">
        <x:v>转换链与页面内容验证通过</x:v>
      </x:c>
      <x:c r="C15" s="79" t="str">
        <x:v>是</x:v>
      </x:c>
      <x:c r="D15" s="79" t="str">
        <x:v>保留</x:v>
      </x:c>
      <x:c r="E15" s="79" t="str">
        <x:v>正常部署；现场补打一份确认</x:v>
      </x:c>
      <x:c r="F15" s="76"/>
      <x:c r="G15" s="79" t="n">
        <x:v>1</x:v>
      </x:c>
      <x:c r="H15" s="79" t="str">
        <x:v>PCL6 / PCL XL</x:v>
      </x:c>
      <x:c r="I15" s="79" t="str">
        <x:v>覆盖广、转换稳定</x:v>
      </x:c>
      <x:c r="J15" s="79" t="str">
        <x:v>改PostScript</x:v>
      </x:c>
    </x:row>
    <x:row r="16">
      <x:c r="A16" s="81" t="str">
        <x:v>条件支持</x:v>
      </x:c>
      <x:c r="B16" s="81" t="str">
        <x:v>依赖授权组件或型号Profile</x:v>
      </x:c>
      <x:c r="C16" s="81" t="str">
        <x:v>满足条件时是</x:v>
      </x:c>
      <x:c r="D16" s="81" t="str">
        <x:v>保留</x:v>
      </x:c>
      <x:c r="E16" s="81" t="str">
        <x:v>确认组件、Profile和授权</x:v>
      </x:c>
      <x:c r="F16" s="76"/>
      <x:c r="G16" s="81" t="n">
        <x:v>2</x:v>
      </x:c>
      <x:c r="H16" s="81" t="str">
        <x:v>PostScript / BR-Script</x:v>
      </x:c>
      <x:c r="I16" s="81" t="str">
        <x:v>标准页面语言</x:v>
      </x:c>
      <x:c r="J16" s="81" t="str">
        <x:v>改PCL5</x:v>
      </x:c>
    </x:row>
    <x:row r="17">
      <x:c r="A17" s="81" t="str">
        <x:v>仅识别</x:v>
      </x:c>
      <x:c r="B17" s="81" t="str">
        <x:v>只分类，不进行猜测性转换</x:v>
      </x:c>
      <x:c r="C17" s="81" t="str">
        <x:v>否</x:v>
      </x:c>
      <x:c r="D17" s="81" t="str">
        <x:v>必须保留</x:v>
      </x:c>
      <x:c r="E17" s="81" t="str">
        <x:v>优先换PCL/PS驱动或提交样本</x:v>
      </x:c>
      <x:c r="F17" s="76"/>
      <x:c r="G17" s="81" t="n">
        <x:v>3</x:v>
      </x:c>
      <x:c r="H17" s="81" t="str">
        <x:v>PCL5e/PCL5c</x:v>
      </x:c>
      <x:c r="I17" s="81" t="str">
        <x:v>旧激光机兼容性好</x:v>
      </x:c>
      <x:c r="J17" s="81" t="str">
        <x:v>评估B组私有流</x:v>
      </x:c>
    </x:row>
    <x:row r="18">
      <x:c r="A18" s="81" t="str">
        <x:v>历史迁移</x:v>
      </x:c>
      <x:c r="B18" s="81" t="str">
        <x:v>旧编号已移入其他组</x:v>
      </x:c>
      <x:c r="C18" s="81" t="str">
        <x:v>否</x:v>
      </x:c>
      <x:c r="D18" s="81" t="str">
        <x:v>按新编号处理</x:v>
      </x:c>
      <x:c r="E18" s="81" t="str">
        <x:v>查看对应C组编号</x:v>
      </x:c>
      <x:c r="F18" s="76"/>
      <x:c r="G18" s="81" t="n">
        <x:v>4</x:v>
      </x:c>
      <x:c r="H18" s="81" t="str">
        <x:v>PWG/PCLm/URF/PDF</x:v>
      </x:c>
      <x:c r="I18" s="81" t="str">
        <x:v>现代免驱路径</x:v>
      </x:c>
      <x:c r="J18" s="81" t="str">
        <x:v>确认实际协商格式</x:v>
      </x:c>
    </x:row>
    <x:row r="19">
      <x:c r="A19" s="83" t="str">
        <x:v>未知</x:v>
      </x:c>
      <x:c r="B19" s="83" t="str">
        <x:v>证据不足或解析异常</x:v>
      </x:c>
      <x:c r="C19" s="83" t="str">
        <x:v>否</x:v>
      </x:c>
      <x:c r="D19" s="83" t="str">
        <x:v>必须保留</x:v>
      </x:c>
      <x:c r="E19" s="83" t="str">
        <x:v>下载PRN进行协议分析</x:v>
      </x:c>
      <x:c r="F19" s="76"/>
      <x:c r="G19" s="83" t="n">
        <x:v>5</x:v>
      </x:c>
      <x:c r="H19" s="83" t="str">
        <x:v>已验证B组私有流</x:v>
      </x:c>
      <x:c r="I19" s="83" t="str">
        <x:v>无标准驱动时的离线路径</x:v>
      </x:c>
      <x:c r="J19" s="83" t="str">
        <x:v>仅识别并保留</x:v>
      </x:c>
    </x:row>
    <x:row r="20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</x:row>
    <x:row r="21" ht="46" customHeight="1">
      <x:c r="A21" s="90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B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C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D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E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F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G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H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I21" s="91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J21" s="92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</x:row>
    <x:row r="22" ht="46" customHeight="1">
      <x:c r="A22" s="93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B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C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D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E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F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G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H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I22" s="94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J22" s="95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</x:row>
    <x:row r="23" ht="46" customHeight="1">
      <x:c r="A23" s="96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B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C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D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E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F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G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H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I23" s="97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  <x:c r="J23" s="98" t="str">
        <x:v>阅读顺序：先在“型号驱动对应”查找设备，再到“协议总表”确认协议、转换链和限制；部署前查看“依赖与授权”；现场无法判断时按“现场选型规则”执行。
证据来源：本仓库 docs/PRN_COMPATIBILITY_MATRIX.md、v0.81发布测试、2026-08-21 K2B v0.80.4实板运行状态。</x:v>
      </x:c>
    </x:row>
  </x:sheetData>
  <x:mergeCells>
    <x:mergeCell ref="A1:J1"/>
    <x:mergeCell ref="A2:J2"/>
    <x:mergeCell ref="A10:J10"/>
    <x:mergeCell ref="A21:J23"/>
  </x:mergeCells>
  <x:conditionalFormatting sqref="A15:A19">
    <x:cfRule type="containsText" dxfId="0" priority="1" operator="containsText" text="完整支持"/>
    <x:cfRule type="containsText" dxfId="1" priority="2" operator="containsText" text="条件支持"/>
    <x:cfRule type="containsText" dxfId="2" priority="3" operator="containsText" text="仅识别"/>
    <x:cfRule type="containsText" dxfId="3" priority="4" operator="containsText" text="历史迁移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3" hidden="0" customWidth="1"/>
    <x:col min="4" max="4" width="14" hidden="0" customWidth="1"/>
    <x:col min="5" max="5" width="19" hidden="0" customWidth="1"/>
    <x:col min="6" max="6" width="31" hidden="0" customWidth="1"/>
    <x:col min="7" max="7" width="24" hidden="0" customWidth="1"/>
    <x:col min="8" max="8" width="29" hidden="0" customWidth="1"/>
    <x:col min="9" max="9" width="36" hidden="0" customWidth="1"/>
    <x:col min="10" max="10" width="26" hidden="0" customWidth="1"/>
    <x:col min="11" max="11" width="29" hidden="0" customWidth="1"/>
    <x:col min="12" max="12" width="38" hidden="0" customWidth="1"/>
    <x:col min="13" max="13" width="15" hidden="0" customWidth="1"/>
    <x:col min="14" max="14" width="27" hidden="0" customWidth="1"/>
    <x:col min="15" max="15" width="38" hidden="0" customWidth="1"/>
  </x:cols>
  <x:sheetData>
    <x:row r="1" ht="34" customHeight="1">
      <x:c r="A1" s="74" t="str">
        <x:v>协议总表：A/B/C完整对应</x:v>
      </x:c>
      <x:c r="B1" s="74" t="str">
        <x:v>协议总表：A/B/C完整对应</x:v>
      </x:c>
      <x:c r="C1" s="74" t="str">
        <x:v>协议总表：A/B/C完整对应</x:v>
      </x:c>
      <x:c r="D1" s="74" t="str">
        <x:v>协议总表：A/B/C完整对应</x:v>
      </x:c>
      <x:c r="E1" s="74" t="str">
        <x:v>协议总表：A/B/C完整对应</x:v>
      </x:c>
      <x:c r="F1" s="74" t="str">
        <x:v>协议总表：A/B/C完整对应</x:v>
      </x:c>
      <x:c r="G1" s="74" t="str">
        <x:v>协议总表：A/B/C完整对应</x:v>
      </x:c>
      <x:c r="H1" s="74" t="str">
        <x:v>协议总表：A/B/C完整对应</x:v>
      </x:c>
      <x:c r="I1" s="74" t="str">
        <x:v>协议总表：A/B/C完整对应</x:v>
      </x:c>
      <x:c r="J1" s="74" t="str">
        <x:v>协议总表：A/B/C完整对应</x:v>
      </x:c>
      <x:c r="K1" s="74" t="str">
        <x:v>协议总表：A/B/C完整对应</x:v>
      </x:c>
      <x:c r="L1" s="74" t="str">
        <x:v>协议总表：A/B/C完整对应</x:v>
      </x:c>
      <x:c r="M1" s="74" t="str">
        <x:v>协议总表：A/B/C完整对应</x:v>
      </x:c>
      <x:c r="N1" s="74" t="str">
        <x:v>协议总表：A/B/C完整对应</x:v>
      </x:c>
      <x:c r="O1" s="74" t="str">
        <x:v>协议总表：A/B/C完整对应</x:v>
      </x:c>
    </x:row>
    <x:row r="2" ht="30" customHeight="1">
      <x:c r="A2" s="75" t="str">
        <x:v>A组=标准语言与通用文档；B组=有可靠离线解码路径；C组=仅识别、保留、下载。B12为历史编号，实际按C01处理。</x:v>
      </x:c>
      <x:c r="B2" s="75" t="str">
        <x:v>A组=标准语言与通用文档；B组=有可靠离线解码路径；C组=仅识别、保留、下载。B12为历史编号，实际按C01处理。</x:v>
      </x:c>
      <x:c r="C2" s="75" t="str">
        <x:v>A组=标准语言与通用文档；B组=有可靠离线解码路径；C组=仅识别、保留、下载。B12为历史编号，实际按C01处理。</x:v>
      </x:c>
      <x:c r="D2" s="75" t="str">
        <x:v>A组=标准语言与通用文档；B组=有可靠离线解码路径；C组=仅识别、保留、下载。B12为历史编号，实际按C01处理。</x:v>
      </x:c>
      <x:c r="E2" s="75" t="str">
        <x:v>A组=标准语言与通用文档；B组=有可靠离线解码路径；C组=仅识别、保留、下载。B12为历史编号，实际按C01处理。</x:v>
      </x:c>
      <x:c r="F2" s="75" t="str">
        <x:v>A组=标准语言与通用文档；B组=有可靠离线解码路径；C组=仅识别、保留、下载。B12为历史编号，实际按C01处理。</x:v>
      </x:c>
      <x:c r="G2" s="75" t="str">
        <x:v>A组=标准语言与通用文档；B组=有可靠离线解码路径；C组=仅识别、保留、下载。B12为历史编号，实际按C01处理。</x:v>
      </x:c>
      <x:c r="H2" s="75" t="str">
        <x:v>A组=标准语言与通用文档；B组=有可靠离线解码路径；C组=仅识别、保留、下载。B12为历史编号，实际按C01处理。</x:v>
      </x:c>
      <x:c r="I2" s="75" t="str">
        <x:v>A组=标准语言与通用文档；B组=有可靠离线解码路径；C组=仅识别、保留、下载。B12为历史编号，实际按C01处理。</x:v>
      </x:c>
      <x:c r="J2" s="75" t="str">
        <x:v>A组=标准语言与通用文档；B组=有可靠离线解码路径；C组=仅识别、保留、下载。B12为历史编号，实际按C01处理。</x:v>
      </x:c>
      <x:c r="K2" s="75" t="str">
        <x:v>A组=标准语言与通用文档；B组=有可靠离线解码路径；C组=仅识别、保留、下载。B12为历史编号，实际按C01处理。</x:v>
      </x:c>
      <x:c r="L2" s="75" t="str">
        <x:v>A组=标准语言与通用文档；B组=有可靠离线解码路径；C组=仅识别、保留、下载。B12为历史编号，实际按C01处理。</x:v>
      </x:c>
      <x:c r="M2" s="75" t="str">
        <x:v>A组=标准语言与通用文档；B组=有可靠离线解码路径；C组=仅识别、保留、下载。B12为历史编号，实际按C01处理。</x:v>
      </x:c>
      <x:c r="N2" s="75" t="str">
        <x:v>A组=标准语言与通用文档；B组=有可靠离线解码路径；C组=仅识别、保留、下载。B12为历史编号，实际按C01处理。</x:v>
      </x:c>
      <x:c r="O2" s="75" t="str">
        <x:v>A组=标准语言与通用文档；B组=有可靠离线解码路径；C组=仅识别、保留、下载。B12为历史编号，实际按C01处理。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</x:row>
    <x:row r="5" ht="34" customHeight="1">
      <x:c r="A5" s="77" t="str">
        <x:v>分组</x:v>
      </x:c>
      <x:c r="B5" s="77" t="str">
        <x:v>编号</x:v>
      </x:c>
      <x:c r="C5" s="77" t="str">
        <x:v>PRN内部格式</x:v>
      </x:c>
      <x:c r="D5" s="77" t="str">
        <x:v>状态</x:v>
      </x:c>
      <x:c r="E5" s="77" t="str">
        <x:v>输出行为</x:v>
      </x:c>
      <x:c r="F5" s="77" t="str">
        <x:v>转换/处理链</x:v>
      </x:c>
      <x:c r="G5" s="77" t="str">
        <x:v>验证等级</x:v>
      </x:c>
      <x:c r="H5" s="77" t="str">
        <x:v>代表驱动</x:v>
      </x:c>
      <x:c r="I5" s="77" t="str">
        <x:v>代表打印机/系列</x:v>
      </x:c>
      <x:c r="J5" s="77" t="str">
        <x:v>结束判定</x:v>
      </x:c>
      <x:c r="K5" s="77" t="str">
        <x:v>必要配置</x:v>
      </x:c>
      <x:c r="L5" s="77" t="str">
        <x:v>主要限制</x:v>
      </x:c>
      <x:c r="M5" s="77" t="str">
        <x:v>现场优先级</x:v>
      </x:c>
      <x:c r="N5" s="77" t="str">
        <x:v>授权/分发</x:v>
      </x:c>
      <x:c r="O5" s="77" t="str">
        <x:v>v0.81结论</x:v>
      </x:c>
    </x:row>
    <x:row r="6" ht="58" customHeight="1">
      <x:c r="A6" s="102" t="str">
        <x:v>A</x:v>
      </x:c>
      <x:c r="B6" s="102" t="str">
        <x:v>A01</x:v>
      </x:c>
      <x:c r="C6" s="79" t="str">
        <x:v>PDF</x:v>
      </x:c>
      <x:c r="D6" s="79" t="str">
        <x:v>完整支持</x:v>
      </x:c>
      <x:c r="E6" s="79" t="str">
        <x:v>生成PDF（原样保留）</x:v>
      </x:c>
      <x:c r="F6" s="79" t="str">
        <x:v>校验后复制，不重新渲染</x:v>
      </x:c>
      <x:c r="G6" s="79" t="str">
        <x:v>真实文件验证</x:v>
      </x:c>
      <x:c r="H6" s="79" t="str">
        <x:v>Direct PDF、IPP直传</x:v>
      </x:c>
      <x:c r="I6" s="79" t="str">
        <x:v>支持Direct PDF的打印机或业务系统</x:v>
      </x:c>
      <x:c r="J6" s="79" t="str">
        <x:v>%%EOF；缺失时空闲超时兜底</x:v>
      </x:c>
      <x:c r="K6" s="79" t="str">
        <x:v>无需额外配置</x:v>
      </x:c>
      <x:c r="L6" s="79" t="str">
        <x:v>必须确实是PDF内容，不能只看.prn扩展名</x:v>
      </x:c>
      <x:c r="M6" s="102" t="str">
        <x:v>最高</x:v>
      </x:c>
      <x:c r="N6" s="79" t="str">
        <x:v>项目内置</x:v>
      </x:c>
      <x:c r="O6" s="79" t="str">
        <x:v>无损保留原PDF字节</x:v>
      </x:c>
    </x:row>
    <x:row r="7" ht="58" customHeight="1">
      <x:c r="A7" s="103" t="str">
        <x:v>A</x:v>
      </x:c>
      <x:c r="B7" s="103" t="str">
        <x:v>A02</x:v>
      </x:c>
      <x:c r="C7" s="81" t="str">
        <x:v>PostScript / EPS</x:v>
      </x:c>
      <x:c r="D7" s="81" t="str">
        <x:v>完整支持</x:v>
      </x:c>
      <x:c r="E7" s="81" t="str">
        <x:v>生成PDF</x:v>
      </x:c>
      <x:c r="F7" s="81" t="str">
        <x:v>Ghostscript / ps2pdf</x:v>
      </x:c>
      <x:c r="G7" s="81" t="str">
        <x:v>真实PRN验证</x:v>
      </x:c>
      <x:c r="H7" s="81" t="str">
        <x:v>Adobe PS、HP PS、Brother BR-Script</x:v>
      </x:c>
      <x:c r="I7" s="81" t="str">
        <x:v>HP PostScript机型、Brother BR-Script机型</x:v>
      </x:c>
      <x:c r="J7" s="81" t="str">
        <x:v>PJL/UEL优先；Ctrl-D或%%EOF候选确认</x:v>
      </x:c>
      <x:c r="K7" s="81" t="str">
        <x:v>安装Ghostscript</x:v>
      </x:c>
      <x:c r="L7" s="81" t="str">
        <x:v>字体替代可能影响极少数专有字体</x:v>
      </x:c>
      <x:c r="M7" s="103" t="str">
        <x:v>高</x:v>
      </x:c>
      <x:c r="N7" s="81" t="str">
        <x:v>Ghostscript AGPL；研发板内部使用</x:v>
      </x:c>
      <x:c r="O7" s="81" t="str">
        <x:v>常见PS打印流可离线转换</x:v>
      </x:c>
    </x:row>
    <x:row r="8" ht="58" customHeight="1">
      <x:c r="A8" s="103" t="str">
        <x:v>A</x:v>
      </x:c>
      <x:c r="B8" s="103" t="str">
        <x:v>A03</x:v>
      </x:c>
      <x:c r="C8" s="81" t="str">
        <x:v>PCL5 / PCL5e / PCL5c</x:v>
      </x:c>
      <x:c r="D8" s="81" t="str">
        <x:v>完整支持</x:v>
      </x:c>
      <x:c r="E8" s="81" t="str">
        <x:v>生成PDF</x:v>
      </x:c>
      <x:c r="F8" s="81" t="str">
        <x:v>GhostPCL gpcl6</x:v>
      </x:c>
      <x:c r="G8" s="81" t="str">
        <x:v>真实PRN验证</x:v>
      </x:c>
      <x:c r="H8" s="81" t="str">
        <x:v>HP Universal PCL5、兼容PCL5驱动</x:v>
      </x:c>
      <x:c r="I8" s="81" t="str">
        <x:v>HP LaserJet、旧款Brother及兼容激光机</x:v>
      </x:c>
      <x:c r="J8" s="81" t="str">
        <x:v>终端UEL；二进制段按声明长度跳过</x:v>
      </x:c>
      <x:c r="K8" s="81" t="str">
        <x:v>安装GhostPDL 10.07.1</x:v>
      </x:c>
      <x:c r="L8" s="81" t="str">
        <x:v>少数字体/宏依赖打印机ROM时可能不同</x:v>
      </x:c>
      <x:c r="M8" s="103" t="str">
        <x:v>高</x:v>
      </x:c>
      <x:c r="N8" s="81" t="str">
        <x:v>GhostPDL AGPL；研发板内部使用</x:v>
      </x:c>
      <x:c r="O8" s="81" t="str">
        <x:v>标准PCL5优先于私有GDI驱动</x:v>
      </x:c>
    </x:row>
    <x:row r="9" ht="58" customHeight="1">
      <x:c r="A9" s="103" t="str">
        <x:v>A</x:v>
      </x:c>
      <x:c r="B9" s="103" t="str">
        <x:v>A04</x:v>
      </x:c>
      <x:c r="C9" s="81" t="str">
        <x:v>PCL XL / PCL6</x:v>
      </x:c>
      <x:c r="D9" s="81" t="str">
        <x:v>完整支持</x:v>
      </x:c>
      <x:c r="E9" s="81" t="str">
        <x:v>生成PDF</x:v>
      </x:c>
      <x:c r="F9" s="81" t="str">
        <x:v>GhostPCL gpcl6</x:v>
      </x:c>
      <x:c r="G9" s="81" t="str">
        <x:v>真实PRN验证</x:v>
      </x:c>
      <x:c r="H9" s="81" t="str">
        <x:v>HP PCL6、Brother PCL6</x:v>
      </x:c>
      <x:c r="I9" s="81" t="str">
        <x:v>HP LaserJet Pro 400 M401、Brother HL-5590DN</x:v>
      </x:c>
      <x:c r="J9" s="81" t="str">
        <x:v>PJL EOJ + UEL或终端UEL</x:v>
      </x:c>
      <x:c r="K9" s="81" t="str">
        <x:v>安装GhostPDL 10.07.1</x:v>
      </x:c>
      <x:c r="L9" s="81" t="str">
        <x:v>必须是标准PCL XL，不包含未支持的厂商私有扩展</x:v>
      </x:c>
      <x:c r="M9" s="103" t="str">
        <x:v>最高</x:v>
      </x:c>
      <x:c r="N9" s="81" t="str">
        <x:v>GhostPDL AGPL；研发板内部使用</x:v>
      </x:c>
      <x:c r="O9" s="81" t="str">
        <x:v>现场首选协议</x:v>
      </x:c>
    </x:row>
    <x:row r="10" ht="58" customHeight="1">
      <x:c r="A10" s="103" t="str">
        <x:v>A</x:v>
      </x:c>
      <x:c r="B10" s="103" t="str">
        <x:v>A05</x:v>
      </x:c>
      <x:c r="C10" s="81" t="str">
        <x:v>HP-GL / HP-GL/2</x:v>
      </x:c>
      <x:c r="D10" s="81" t="str">
        <x:v>完整支持</x:v>
      </x:c>
      <x:c r="E10" s="81" t="str">
        <x:v>生成PDF</x:v>
      </x:c>
      <x:c r="F10" s="81" t="str">
        <x:v>GhostPCL gpcl6</x:v>
      </x:c>
      <x:c r="G10" s="81" t="str">
        <x:v>完整编码链验证</x:v>
      </x:c>
      <x:c r="H10" s="81" t="str">
        <x:v>HP DesignJet / 绘图仪HP-GL/2驱动</x:v>
      </x:c>
      <x:c r="I10" s="81" t="str">
        <x:v>HP DesignJet 500/800及工程绘图仪</x:v>
      </x:c>
      <x:c r="J10" s="81" t="str">
        <x:v>PJL/UEL优先；否则空闲超时</x:v>
      </x:c>
      <x:c r="K10" s="81" t="str">
        <x:v>安装GhostPDL 10.07.1</x:v>
      </x:c>
      <x:c r="L10" s="81" t="str">
        <x:v>复杂绘图宏和设备字体仍需现场补测</x:v>
      </x:c>
      <x:c r="M10" s="103" t="str">
        <x:v>中高</x:v>
      </x:c>
      <x:c r="N10" s="81" t="str">
        <x:v>GhostPDL AGPL；研发板内部使用</x:v>
      </x:c>
      <x:c r="O10" s="81" t="str">
        <x:v>可离线转换工程绘图流</x:v>
      </x:c>
    </x:row>
    <x:row r="11" ht="58" customHeight="1">
      <x:c r="A11" s="103" t="str">
        <x:v>A</x:v>
      </x:c>
      <x:c r="B11" s="103" t="str">
        <x:v>A06</x:v>
      </x:c>
      <x:c r="C11" s="81" t="str">
        <x:v>XPS / OpenXPS</x:v>
      </x:c>
      <x:c r="D11" s="81" t="str">
        <x:v>完整支持</x:v>
      </x:c>
      <x:c r="E11" s="81" t="str">
        <x:v>生成PDF</x:v>
      </x:c>
      <x:c r="F11" s="81" t="str">
        <x:v>libgxps xpstopdf，gxps备用</x:v>
      </x:c>
      <x:c r="G11" s="81" t="str">
        <x:v>规范包验证</x:v>
      </x:c>
      <x:c r="H11" s="81" t="str">
        <x:v>Microsoft XPS/V4打印路径</x:v>
      </x:c>
      <x:c r="I11" s="81" t="str">
        <x:v>Windows XPS Document Writer、部分V4驱动</x:v>
      </x:c>
      <x:c r="J11" s="81" t="str">
        <x:v>ZIP包完整性 + 空闲超时</x:v>
      </x:c>
      <x:c r="K11" s="81" t="str">
        <x:v>安装libgxps-utils</x:v>
      </x:c>
      <x:c r="L11" s="81" t="str">
        <x:v>厂商V4扩展可能不属于标准XPS</x:v>
      </x:c>
      <x:c r="M11" s="103" t="str">
        <x:v>中</x:v>
      </x:c>
      <x:c r="N11" s="81" t="str">
        <x:v>LGPL组件，按系统包管理</x:v>
      </x:c>
      <x:c r="O11" s="81" t="str">
        <x:v>标准XPS包可离线转换</x:v>
      </x:c>
    </x:row>
    <x:row r="12" ht="58" customHeight="1">
      <x:c r="A12" s="103" t="str">
        <x:v>A</x:v>
      </x:c>
      <x:c r="B12" s="103" t="str">
        <x:v>A07</x:v>
      </x:c>
      <x:c r="C12" s="81" t="str">
        <x:v>PWG Raster</x:v>
      </x:c>
      <x:c r="D12" s="81" t="str">
        <x:v>完整支持</x:v>
      </x:c>
      <x:c r="E12" s="81" t="str">
        <x:v>生成PDF</x:v>
      </x:c>
      <x:c r="F12" s="81" t="str">
        <x:v>CUPS pwgtopdf</x:v>
      </x:c>
      <x:c r="G12" s="81" t="str">
        <x:v>K2B完整编码链验证</x:v>
      </x:c>
      <x:c r="H12" s="81" t="str">
        <x:v>IPP Everywhere / driverless</x:v>
      </x:c>
      <x:c r="I12" s="81" t="str">
        <x:v>支持IPP Everywhere的现代打印机</x:v>
      </x:c>
      <x:c r="J12" s="81" t="str">
        <x:v>协议识别；未知尾部走空闲超时</x:v>
      </x:c>
      <x:c r="K12" s="81" t="str">
        <x:v>安装CUPS过滤器</x:v>
      </x:c>
      <x:c r="L12" s="81" t="str">
        <x:v>受页数、像素和解压体积限制</x:v>
      </x:c>
      <x:c r="M12" s="103" t="str">
        <x:v>高</x:v>
      </x:c>
      <x:c r="N12" s="81" t="str">
        <x:v>系统CUPS组件</x:v>
      </x:c>
      <x:c r="O12" s="81" t="str">
        <x:v>24,136字节样本已还原非空单页</x:v>
      </x:c>
    </x:row>
    <x:row r="13" ht="58" customHeight="1">
      <x:c r="A13" s="103" t="str">
        <x:v>A</x:v>
      </x:c>
      <x:c r="B13" s="103" t="str">
        <x:v>A08</x:v>
      </x:c>
      <x:c r="C13" s="81" t="str">
        <x:v>CUPS Raster v1/v2/v3</x:v>
      </x:c>
      <x:c r="D13" s="81" t="str">
        <x:v>完整支持</x:v>
      </x:c>
      <x:c r="E13" s="81" t="str">
        <x:v>生成PDF</x:v>
      </x:c>
      <x:c r="F13" s="81" t="str">
        <x:v>CUPS pwgtopdf</x:v>
      </x:c>
      <x:c r="G13" s="81" t="str">
        <x:v>K2B完整编码链验证</x:v>
      </x:c>
      <x:c r="H13" s="81" t="str">
        <x:v>Linux CUPS中间光栅</x:v>
      </x:c>
      <x:c r="I13" s="81" t="str">
        <x:v>Linux/CUPS打印链路</x:v>
      </x:c>
      <x:c r="J13" s="81" t="str">
        <x:v>协议识别；空闲超时兜底</x:v>
      </x:c>
      <x:c r="K13" s="81" t="str">
        <x:v>安装CUPS过滤器</x:v>
      </x:c>
      <x:c r="L13" s="81" t="str">
        <x:v>未压缩大页可能占用较多磁盘；有资源上限</x:v>
      </x:c>
      <x:c r="M13" s="103" t="str">
        <x:v>中</x:v>
      </x:c>
      <x:c r="N13" s="81" t="str">
        <x:v>系统CUPS组件</x:v>
      </x:c>
      <x:c r="O13" s="81" t="str">
        <x:v>86,401,800字节v3样本已转换</x:v>
      </x:c>
    </x:row>
    <x:row r="14" ht="58" customHeight="1">
      <x:c r="A14" s="103" t="str">
        <x:v>A</x:v>
      </x:c>
      <x:c r="B14" s="103" t="str">
        <x:v>A09</x:v>
      </x:c>
      <x:c r="C14" s="81" t="str">
        <x:v>PCLm</x:v>
      </x:c>
      <x:c r="D14" s="81" t="str">
        <x:v>完整支持</x:v>
      </x:c>
      <x:c r="E14" s="81" t="str">
        <x:v>生成PDF（原样保留）</x:v>
      </x:c>
      <x:c r="F14" s="81" t="str">
        <x:v>识别PDF-based PCLm后复制</x:v>
      </x:c>
      <x:c r="G14" s="81" t="str">
        <x:v>K2B完整编码链验证</x:v>
      </x:c>
      <x:c r="H14" s="81" t="str">
        <x:v>Mopria / 移动打印</x:v>
      </x:c>
      <x:c r="I14" s="81" t="str">
        <x:v>部分移动打印和免驱设备</x:v>
      </x:c>
      <x:c r="J14" s="81" t="str">
        <x:v>%%EOF候选确认</x:v>
      </x:c>
      <x:c r="K14" s="81" t="str">
        <x:v>无需额外转换器</x:v>
      </x:c>
      <x:c r="L14" s="81" t="str">
        <x:v>仅支持PDF-based标准路径</x:v>
      </x:c>
      <x:c r="M14" s="103" t="str">
        <x:v>高</x:v>
      </x:c>
      <x:c r="N14" s="81" t="str">
        <x:v>项目内置</x:v>
      </x:c>
      <x:c r="O14" s="81" t="str">
        <x:v>输入输出SHA-256完全一致</x:v>
      </x:c>
    </x:row>
    <x:row r="15" ht="58" customHeight="1">
      <x:c r="A15" s="103" t="str">
        <x:v>A</x:v>
      </x:c>
      <x:c r="B15" s="103" t="str">
        <x:v>A10</x:v>
      </x:c>
      <x:c r="C15" s="81" t="str">
        <x:v>Apple URF</x:v>
      </x:c>
      <x:c r="D15" s="81" t="str">
        <x:v>完整支持</x:v>
      </x:c>
      <x:c r="E15" s="81" t="str">
        <x:v>生成PDF</x:v>
      </x:c>
      <x:c r="F15" s="81" t="str">
        <x:v>CUPS pwgtopdf</x:v>
      </x:c>
      <x:c r="G15" s="81" t="str">
        <x:v>K2B完整编码链验证</x:v>
      </x:c>
      <x:c r="H15" s="81" t="str">
        <x:v>AirPrint / macOS / iOS Raster</x:v>
      </x:c>
      <x:c r="I15" s="81" t="str">
        <x:v>支持AirPrint的打印机</x:v>
      </x:c>
      <x:c r="J15" s="81" t="str">
        <x:v>协议识别；空闲超时兜底</x:v>
      </x:c>
      <x:c r="K15" s="81" t="str">
        <x:v>安装CUPS过滤器</x:v>
      </x:c>
      <x:c r="L15" s="81" t="str">
        <x:v>受资源上限；私有扩展需补测</x:v>
      </x:c>
      <x:c r="M15" s="103" t="str">
        <x:v>高</x:v>
      </x:c>
      <x:c r="N15" s="81" t="str">
        <x:v>系统CUPS组件</x:v>
      </x:c>
      <x:c r="O15" s="81" t="str">
        <x:v>UNIRAST样本已还原非空单页</x:v>
      </x:c>
    </x:row>
    <x:row r="16" ht="58" customHeight="1">
      <x:c r="A16" s="103" t="str">
        <x:v>A</x:v>
      </x:c>
      <x:c r="B16" s="103" t="str">
        <x:v>A11</x:v>
      </x:c>
      <x:c r="C16" s="81" t="str">
        <x:v>JPEG / PNG / BMP</x:v>
      </x:c>
      <x:c r="D16" s="81" t="str">
        <x:v>完整支持</x:v>
      </x:c>
      <x:c r="E16" s="81" t="str">
        <x:v>生成PDF</x:v>
      </x:c>
      <x:c r="F16" s="81" t="str">
        <x:v>Pillow图像解码与PDF合成</x:v>
      </x:c>
      <x:c r="G16" s="81" t="str">
        <x:v>真实文件验证</x:v>
      </x:c>
      <x:c r="H16" s="81" t="str">
        <x:v>图像型RAW任务</x:v>
      </x:c>
      <x:c r="I16" s="81" t="str">
        <x:v>通用图像输出设备</x:v>
      </x:c>
      <x:c r="J16" s="81" t="str">
        <x:v>文件完整后按空闲超时</x:v>
      </x:c>
      <x:c r="K16" s="81" t="str">
        <x:v>Python Pillow</x:v>
      </x:c>
      <x:c r="L16" s="81" t="str">
        <x:v>受单页7500万像素等资源限制</x:v>
      </x:c>
      <x:c r="M16" s="103" t="str">
        <x:v>中</x:v>
      </x:c>
      <x:c r="N16" s="81" t="str">
        <x:v>Pillow许可</x:v>
      </x:c>
      <x:c r="O16" s="81" t="str">
        <x:v>图像型PRN可直接转PDF</x:v>
      </x:c>
    </x:row>
    <x:row r="17" ht="58" customHeight="1">
      <x:c r="A17" s="103" t="str">
        <x:v>A</x:v>
      </x:c>
      <x:c r="B17" s="103" t="str">
        <x:v>A12</x:v>
      </x:c>
      <x:c r="C17" s="81" t="str">
        <x:v>TIFF</x:v>
      </x:c>
      <x:c r="D17" s="81" t="str">
        <x:v>完整支持</x:v>
      </x:c>
      <x:c r="E17" s="81" t="str">
        <x:v>生成多页PDF</x:v>
      </x:c>
      <x:c r="F17" s="81" t="str">
        <x:v>Pillow逐帧读取并合成</x:v>
      </x:c>
      <x:c r="G17" s="81" t="str">
        <x:v>K2B两页验证</x:v>
      </x:c>
      <x:c r="H17" s="81" t="str">
        <x:v>扫描/传真/医学图像输出</x:v>
      </x:c>
      <x:c r="I17" s="81" t="str">
        <x:v>支持TIFF输出的扫描与传真系统</x:v>
      </x:c>
      <x:c r="J17" s="81" t="str">
        <x:v>文件完整后按空闲超时</x:v>
      </x:c>
      <x:c r="K17" s="81" t="str">
        <x:v>Python Pillow</x:v>
      </x:c>
      <x:c r="L17" s="81" t="str">
        <x:v>最多100页并受总像素限制</x:v>
      </x:c>
      <x:c r="M17" s="103" t="str">
        <x:v>中</x:v>
      </x:c>
      <x:c r="N17" s="81" t="str">
        <x:v>Pillow许可</x:v>
      </x:c>
      <x:c r="O17" s="81" t="str">
        <x:v>多页顺序保留</x:v>
      </x:c>
    </x:row>
    <x:row r="18" ht="58" customHeight="1">
      <x:c r="A18" s="103" t="str">
        <x:v>A</x:v>
      </x:c>
      <x:c r="B18" s="103" t="str">
        <x:v>A13</x:v>
      </x:c>
      <x:c r="C18" s="81" t="str">
        <x:v>PCX / DCX</x:v>
      </x:c>
      <x:c r="D18" s="81" t="str">
        <x:v>完整支持</x:v>
      </x:c>
      <x:c r="E18" s="81" t="str">
        <x:v>生成PDF（DCX多页）</x:v>
      </x:c>
      <x:c r="F18" s="81" t="str">
        <x:v>Pillow逐页解码</x:v>
      </x:c>
      <x:c r="G18" s="81" t="str">
        <x:v>K2B文件与两页验证</x:v>
      </x:c>
      <x:c r="H18" s="81" t="str">
        <x:v>旧式传真/PCX归档</x:v>
      </x:c>
      <x:c r="I18" s="81" t="str">
        <x:v>老式医学、传真或归档软件</x:v>
      </x:c>
      <x:c r="J18" s="81" t="str">
        <x:v>文件完整后按空闲超时</x:v>
      </x:c>
      <x:c r="K18" s="81" t="str">
        <x:v>Python Pillow</x:v>
      </x:c>
      <x:c r="L18" s="81" t="str">
        <x:v>少见压缩变体需现场补测</x:v>
      </x:c>
      <x:c r="M18" s="103" t="str">
        <x:v>低中</x:v>
      </x:c>
      <x:c r="N18" s="81" t="str">
        <x:v>Pillow许可</x:v>
      </x:c>
      <x:c r="O18" s="81" t="str">
        <x:v>DCX全部页面保留</x:v>
      </x:c>
    </x:row>
    <x:row r="19" ht="58" customHeight="1">
      <x:c r="A19" s="103" t="str">
        <x:v>A</x:v>
      </x:c>
      <x:c r="B19" s="103" t="str">
        <x:v>A14</x:v>
      </x:c>
      <x:c r="C19" s="81" t="str">
        <x:v>纯文本</x:v>
      </x:c>
      <x:c r="D19" s="81" t="str">
        <x:v>完整支持</x:v>
      </x:c>
      <x:c r="E19" s="81" t="str">
        <x:v>生成PDF</x:v>
      </x:c>
      <x:c r="F19" s="81" t="str">
        <x:v>Pillow文本排版</x:v>
      </x:c>
      <x:c r="G19" s="81" t="str">
        <x:v>文件验证</x:v>
      </x:c>
      <x:c r="H19" s="81" t="str">
        <x:v>Generic / Text Only</x:v>
      </x:c>
      <x:c r="I19" s="81" t="str">
        <x:v>通用文本打印机路径</x:v>
      </x:c>
      <x:c r="J19" s="81" t="str">
        <x:v>空闲超时</x:v>
      </x:c>
      <x:c r="K19" s="81" t="str">
        <x:v>字体与编码配置使用网关默认值</x:v>
      </x:c>
      <x:c r="L19" s="81" t="str">
        <x:v>复杂控制码不会按专用打印机语义执行</x:v>
      </x:c>
      <x:c r="M19" s="103" t="str">
        <x:v>中</x:v>
      </x:c>
      <x:c r="N19" s="81" t="str">
        <x:v>项目内置 + Pillow</x:v>
      </x:c>
      <x:c r="O19" s="81" t="str">
        <x:v>适用于普通中英文文本报告</x:v>
      </x:c>
    </x:row>
    <x:row r="20" ht="58" customHeight="1">
      <x:c r="A20" s="103" t="str">
        <x:v>B</x:v>
      </x:c>
      <x:c r="B20" s="103" t="str">
        <x:v>B01</x:v>
      </x:c>
      <x:c r="C20" s="81" t="str">
        <x:v>ZjStream</x:v>
      </x:c>
      <x:c r="D20" s="81" t="str">
        <x:v>完整支持</x:v>
      </x:c>
      <x:c r="E20" s="81" t="str">
        <x:v>生成PDF</x:v>
      </x:c>
      <x:c r="F20" s="81" t="str">
        <x:v>zjsdecode + Pillow</x:v>
      </x:c>
      <x:c r="G20" s="81" t="str">
        <x:v>真实PRN验证</x:v>
      </x:c>
      <x:c r="H20" s="81" t="str">
        <x:v>foo2zjs / ZjStream</x:v>
      </x:c>
      <x:c r="I20" s="81" t="str">
        <x:v>HP 1000/1018/1020/P1102、KM 2430DL</x:v>
      </x:c>
      <x:c r="J20" s="81" t="str">
        <x:v>结构识别；结束标志/空闲超时</x:v>
      </x:c>
      <x:c r="K20" s="81" t="str">
        <x:v>安装白名单zjsdecode</x:v>
      </x:c>
      <x:c r="L20" s="81" t="str">
        <x:v>固件下载任务会被识别并忽略</x:v>
      </x:c>
      <x:c r="M20" s="103" t="str">
        <x:v>高</x:v>
      </x:c>
      <x:c r="N20" s="81" t="str">
        <x:v>开源解码器，按组件许可</x:v>
      </x:c>
      <x:c r="O20" s="81" t="str">
        <x:v>主机型HP激光机常见路径</x:v>
      </x:c>
    </x:row>
    <x:row r="21" ht="58" customHeight="1">
      <x:c r="A21" s="103" t="str">
        <x:v>B</x:v>
      </x:c>
      <x:c r="B21" s="103" t="str">
        <x:v>B02</x:v>
      </x:c>
      <x:c r="C21" s="81" t="str">
        <x:v>QPDL / SPL-C</x:v>
      </x:c>
      <x:c r="D21" s="81" t="str">
        <x:v>完整支持</x:v>
      </x:c>
      <x:c r="E21" s="81" t="str">
        <x:v>生成PDF</x:v>
      </x:c>
      <x:c r="F21" s="81" t="str">
        <x:v>qpdldecode + Pillow</x:v>
      </x:c>
      <x:c r="G21" s="81" t="str">
        <x:v>K2B完整编码链验证</x:v>
      </x:c>
      <x:c r="H21" s="81" t="str">
        <x:v>foo2qpdl</x:v>
      </x:c>
      <x:c r="I21" s="81" t="str">
        <x:v>Samsung CLP-300/315/325、Xerox Phaser 6110</x:v>
      </x:c>
      <x:c r="J21" s="81" t="str">
        <x:v>PJL语言 + 结构结束/空闲超时</x:v>
      </x:c>
      <x:c r="K21" s="81" t="str">
        <x:v>安装白名单qpdldecode</x:v>
      </x:c>
      <x:c r="L21" s="81" t="str">
        <x:v>SPLC字样单独出现时不等同Sharp SPLC</x:v>
      </x:c>
      <x:c r="M21" s="103" t="str">
        <x:v>中高</x:v>
      </x:c>
      <x:c r="N21" s="81" t="str">
        <x:v>开源解码器，按组件许可</x:v>
      </x:c>
      <x:c r="O21" s="81" t="str">
        <x:v>单色/彩色与多分辨率路径已验证</x:v>
      </x:c>
    </x:row>
    <x:row r="22" ht="58" customHeight="1">
      <x:c r="A22" s="103" t="str">
        <x:v>B</x:v>
      </x:c>
      <x:c r="B22" s="103" t="str">
        <x:v>B03</x:v>
      </x:c>
      <x:c r="C22" s="81" t="str">
        <x:v>HP XQX</x:v>
      </x:c>
      <x:c r="D22" s="81" t="str">
        <x:v>完整支持</x:v>
      </x:c>
      <x:c r="E22" s="81" t="str">
        <x:v>生成PDF</x:v>
      </x:c>
      <x:c r="F22" s="81" t="str">
        <x:v>xqxdecode + Pillow</x:v>
      </x:c>
      <x:c r="G22" s="81" t="str">
        <x:v>K2B完整编码链验证</x:v>
      </x:c>
      <x:c r="H22" s="81" t="str">
        <x:v>foo2xqx</x:v>
      </x:c>
      <x:c r="I22" s="81" t="str">
        <x:v>HP M1005、P1005/P1006/P1505</x:v>
      </x:c>
      <x:c r="J22" s="81" t="str">
        <x:v>结构识别；空闲超时兜底</x:v>
      </x:c>
      <x:c r="K22" s="81" t="str">
        <x:v>安装白名单xqxdecode</x:v>
      </x:c>
      <x:c r="L22" s="81" t="str">
        <x:v>厂商固件段和异常分辨率受限制</x:v>
      </x:c>
      <x:c r="M22" s="103" t="str">
        <x:v>中高</x:v>
      </x:c>
      <x:c r="N22" s="81" t="str">
        <x:v>开源解码器，按组件许可</x:v>
      </x:c>
      <x:c r="O22" s="81" t="str">
        <x:v>600/1200横向分辨率路径已验证</x:v>
      </x:c>
    </x:row>
    <x:row r="23" ht="58" customHeight="1">
      <x:c r="A23" s="103" t="str">
        <x:v>B</x:v>
      </x:c>
      <x:c r="B23" s="103" t="str">
        <x:v>B04</x:v>
      </x:c>
      <x:c r="C23" s="81" t="str">
        <x:v>OKI HIPERC</x:v>
      </x:c>
      <x:c r="D23" s="81" t="str">
        <x:v>完整支持</x:v>
      </x:c>
      <x:c r="E23" s="81" t="str">
        <x:v>生成PDF</x:v>
      </x:c>
      <x:c r="F23" s="81" t="str">
        <x:v>hipercdecode + Pillow</x:v>
      </x:c>
      <x:c r="G23" s="81" t="str">
        <x:v>K2B完整编码链验证</x:v>
      </x:c>
      <x:c r="H23" s="81" t="str">
        <x:v>foo2hiperc</x:v>
      </x:c>
      <x:c r="I23" s="81" t="str">
        <x:v>OKI C310/C3200/C3300/C5100</x:v>
      </x:c>
      <x:c r="J23" s="81" t="str">
        <x:v>PJL/协议结构 + 空闲超时</x:v>
      </x:c>
      <x:c r="K23" s="81" t="str">
        <x:v>安装白名单hipercdecode</x:v>
      </x:c>
      <x:c r="L23" s="81" t="str">
        <x:v>高分辨率页面会按物理尺寸降采样</x:v>
      </x:c>
      <x:c r="M23" s="103" t="str">
        <x:v>中</x:v>
      </x:c>
      <x:c r="N23" s="81" t="str">
        <x:v>开源解码器，按组件许可</x:v>
      </x:c>
      <x:c r="O23" s="81" t="str">
        <x:v>300/600/1200纵向路径已验证</x:v>
      </x:c>
    </x:row>
    <x:row r="24" ht="58" customHeight="1">
      <x:c r="A24" s="103" t="str">
        <x:v>B</x:v>
      </x:c>
      <x:c r="B24" s="103" t="str">
        <x:v>B05</x:v>
      </x:c>
      <x:c r="C24" s="81" t="str">
        <x:v>HBPL / HBPL2</x:v>
      </x:c>
      <x:c r="D24" s="81" t="str">
        <x:v>完整支持</x:v>
      </x:c>
      <x:c r="E24" s="81" t="str">
        <x:v>生成PDF</x:v>
      </x:c>
      <x:c r="F24" s="81" t="str">
        <x:v>独立hbpldecode + Pillow</x:v>
      </x:c>
      <x:c r="G24" s="81" t="str">
        <x:v>K2B完整编码链验证</x:v>
      </x:c>
      <x:c r="H24" s="81" t="str">
        <x:v>foo2hbpl2</x:v>
      </x:c>
      <x:c r="I24" s="81" t="str">
        <x:v>Dell 1355/C1765、Epson AcuLaser CX17/M1400</x:v>
      </x:c>
      <x:c r="J24" s="81" t="str">
        <x:v>结构识别；空闲超时兜底</x:v>
      </x:c>
      <x:c r="K24" s="81" t="str">
        <x:v>安装隔离白名单hbpldecode</x:v>
      </x:c>
      <x:c r="L24" s="81" t="str">
        <x:v>仅按已验证打包位数和颜色平面处理</x:v>
      </x:c>
      <x:c r="M24" s="103" t="str">
        <x:v>中</x:v>
      </x:c>
      <x:c r="N24" s="81" t="str">
        <x:v>随研发包离线部署</x:v>
      </x:c>
      <x:c r="O24" s="81" t="str">
        <x:v>单色和彩色四平面验证通过</x:v>
      </x:c>
    </x:row>
    <x:row r="25" ht="58" customHeight="1">
      <x:c r="A25" s="103" t="str">
        <x:v>B</x:v>
      </x:c>
      <x:c r="B25" s="103" t="str">
        <x:v>B06</x:v>
      </x:c>
      <x:c r="C25" s="81" t="str">
        <x:v>Ricoh DDST</x:v>
      </x:c>
      <x:c r="D25" s="81" t="str">
        <x:v>完整支持</x:v>
      </x:c>
      <x:c r="E25" s="81" t="str">
        <x:v>生成PDF</x:v>
      </x:c>
      <x:c r="F25" s="81" t="str">
        <x:v>独立ddstdecode + Pillow</x:v>
      </x:c>
      <x:c r="G25" s="81" t="str">
        <x:v>K2B完整编码链验证</x:v>
      </x:c>
      <x:c r="H25" s="81" t="str">
        <x:v>foo2ddst</x:v>
      </x:c>
      <x:c r="I25" s="81" t="str">
        <x:v>Ricoh SP 112系列</x:v>
      </x:c>
      <x:c r="J25" s="81" t="str">
        <x:v>结构识别；空闲超时兜底</x:v>
      </x:c>
      <x:c r="K25" s="81" t="str">
        <x:v>安装隔离白名单ddstdecode</x:v>
      </x:c>
      <x:c r="L25" s="81" t="str">
        <x:v>当前证据集中于单色A4 600dpi</x:v>
      </x:c>
      <x:c r="M25" s="103" t="str">
        <x:v>中</x:v>
      </x:c>
      <x:c r="N25" s="81" t="str">
        <x:v>随研发包离线部署</x:v>
      </x:c>
      <x:c r="O25" s="81" t="str">
        <x:v>标准A4单页验证通过</x:v>
      </x:c>
    </x:row>
    <x:row r="26" ht="58" customHeight="1">
      <x:c r="A26" s="103" t="str">
        <x:v>B</x:v>
      </x:c>
      <x:c r="B26" s="103" t="str">
        <x:v>B07</x:v>
      </x:c>
      <x:c r="C26" s="81" t="str">
        <x:v>LAVAFLOW</x:v>
      </x:c>
      <x:c r="D26" s="81" t="str">
        <x:v>完整支持</x:v>
      </x:c>
      <x:c r="E26" s="81" t="str">
        <x:v>生成PDF</x:v>
      </x:c>
      <x:c r="F26" s="81" t="str">
        <x:v>lavadecode + Pillow</x:v>
      </x:c>
      <x:c r="G26" s="81" t="str">
        <x:v>K2B完整编码链验证</x:v>
      </x:c>
      <x:c r="H26" s="81" t="str">
        <x:v>foo2lava</x:v>
      </x:c>
      <x:c r="I26" s="81" t="str">
        <x:v>KM 1600W/1690MF/2530DL、Xerox 6115MFP</x:v>
      </x:c>
      <x:c r="J26" s="81" t="str">
        <x:v>结构识别；空闲超时兜底</x:v>
      </x:c>
      <x:c r="K26" s="81" t="str">
        <x:v>安装白名单lavadecode</x:v>
      </x:c>
      <x:c r="L26" s="81" t="str">
        <x:v>测试未使用厂商专有ICM</x:v>
      </x:c>
      <x:c r="M26" s="103" t="str">
        <x:v>中</x:v>
      </x:c>
      <x:c r="N26" s="81" t="str">
        <x:v>开源解码器，按组件许可</x:v>
      </x:c>
      <x:c r="O26" s="81" t="str">
        <x:v>单色和彩色四平面验证通过</x:v>
      </x:c>
    </x:row>
    <x:row r="27" ht="58" customHeight="1">
      <x:c r="A27" s="103" t="str">
        <x:v>B</x:v>
      </x:c>
      <x:c r="B27" s="103" t="str">
        <x:v>B08</x:v>
      </x:c>
      <x:c r="C27" s="81" t="str">
        <x:v>Raster Object / OPL</x:v>
      </x:c>
      <x:c r="D27" s="81" t="str">
        <x:v>完整支持</x:v>
      </x:c>
      <x:c r="E27" s="81" t="str">
        <x:v>生成PDF</x:v>
      </x:c>
      <x:c r="F27" s="81" t="str">
        <x:v>修正版opldecode + Pillow</x:v>
      </x:c>
      <x:c r="G27" s="81" t="str">
        <x:v>K2B完整编码链验证</x:v>
      </x:c>
      <x:c r="H27" s="81" t="str">
        <x:v>foo2lava -z1</x:v>
      </x:c>
      <x:c r="I27" s="81" t="str">
        <x:v>Konica Minolta magicolor 2480MF</x:v>
      </x:c>
      <x:c r="J27" s="81" t="str">
        <x:v>结构识别；空闲超时兜底</x:v>
      </x:c>
      <x:c r="K27" s="81" t="str">
        <x:v>安装隔离白名单opldecode</x:v>
      </x:c>
      <x:c r="L27" s="81" t="str">
        <x:v>仅覆盖已验证OPL方言</x:v>
      </x:c>
      <x:c r="M27" s="103" t="str">
        <x:v>中</x:v>
      </x:c>
      <x:c r="N27" s="81" t="str">
        <x:v>随研发包离线部署</x:v>
      </x:c>
      <x:c r="O27" s="81" t="str">
        <x:v>单色/彩色验证且已修复段错误</x:v>
      </x:c>
    </x:row>
    <x:row r="28" ht="58" customHeight="1">
      <x:c r="A28" s="103" t="str">
        <x:v>B</x:v>
      </x:c>
      <x:c r="B28" s="103" t="str">
        <x:v>B09</x:v>
      </x:c>
      <x:c r="C28" s="81" t="str">
        <x:v>Lexmark SLX</x:v>
      </x:c>
      <x:c r="D28" s="81" t="str">
        <x:v>完整支持</x:v>
      </x:c>
      <x:c r="E28" s="81" t="str">
        <x:v>生成PDF</x:v>
      </x:c>
      <x:c r="F28" s="81" t="str">
        <x:v>独立slxdecode + Pillow</x:v>
      </x:c>
      <x:c r="G28" s="81" t="str">
        <x:v>K2B完整编码链验证</x:v>
      </x:c>
      <x:c r="H28" s="81" t="str">
        <x:v>foo2slx</x:v>
      </x:c>
      <x:c r="I28" s="81" t="str">
        <x:v>Lexmark C500n</x:v>
      </x:c>
      <x:c r="J28" s="81" t="str">
        <x:v>结构识别；空闲超时兜底</x:v>
      </x:c>
      <x:c r="K28" s="81" t="str">
        <x:v>安装隔离白名单slxdecode</x:v>
      </x:c>
      <x:c r="L28" s="81" t="str">
        <x:v>仅覆盖已验证颜色平面布局</x:v>
      </x:c>
      <x:c r="M28" s="103" t="str">
        <x:v>中</x:v>
      </x:c>
      <x:c r="N28" s="81" t="str">
        <x:v>随研发包离线部署</x:v>
      </x:c>
      <x:c r="O28" s="81" t="str">
        <x:v>单色和彩色页面验证通过</x:v>
      </x:c>
    </x:row>
    <x:row r="29" ht="58" customHeight="1">
      <x:c r="A29" s="103" t="str">
        <x:v>B</x:v>
      </x:c>
      <x:c r="B29" s="103" t="str">
        <x:v>B10</x:v>
      </x:c>
      <x:c r="C29" s="81" t="str">
        <x:v>Oak OAKT</x:v>
      </x:c>
      <x:c r="D29" s="81" t="str">
        <x:v>完整支持</x:v>
      </x:c>
      <x:c r="E29" s="81" t="str">
        <x:v>生成PDF</x:v>
      </x:c>
      <x:c r="F29" s="81" t="str">
        <x:v>oakdecode + Pillow</x:v>
      </x:c>
      <x:c r="G29" s="81" t="str">
        <x:v>K2B完整编码链验证</x:v>
      </x:c>
      <x:c r="H29" s="81" t="str">
        <x:v>foo2oak</x:v>
      </x:c>
      <x:c r="I29" s="81" t="str">
        <x:v>HP Color LaserJet 1500、Kyocera KM-1635/2035</x:v>
      </x:c>
      <x:c r="J29" s="81" t="str">
        <x:v>结构识别；空闲超时兜底</x:v>
      </x:c>
      <x:c r="K29" s="81" t="str">
        <x:v>安装白名单oakdecode</x:v>
      </x:c>
      <x:c r="L29" s="81" t="str">
        <x:v>必须根据流内方向区分HP镜像和Kyocera旋转</x:v>
      </x:c>
      <x:c r="M29" s="103" t="str">
        <x:v>中</x:v>
      </x:c>
      <x:c r="N29" s="81" t="str">
        <x:v>开源解码器，按组件许可</x:v>
      </x:c>
      <x:c r="O29" s="81" t="str">
        <x:v>两类方向及Y/M/C/K颜色已验证</x:v>
      </x:c>
    </x:row>
    <x:row r="30" ht="58" customHeight="1">
      <x:c r="A30" s="103" t="str">
        <x:v>B</x:v>
      </x:c>
      <x:c r="B30" s="103" t="str">
        <x:v>B11</x:v>
      </x:c>
      <x:c r="C30" s="81" t="str">
        <x:v>Brother HBP / XL2HB</x:v>
      </x:c>
      <x:c r="D30" s="81" t="str">
        <x:v>完整支持</x:v>
      </x:c>
      <x:c r="E30" s="81" t="str">
        <x:v>生成PDF</x:v>
      </x:c>
      <x:c r="F30" s="81" t="str">
        <x:v>独立brdecode + Pillow</x:v>
      </x:c>
      <x:c r="G30" s="81" t="str">
        <x:v>K2B完整编码链验证</x:v>
      </x:c>
      <x:c r="H30" s="81" t="str">
        <x:v>brlaser / Brother HBP</x:v>
      </x:c>
      <x:c r="I30" s="81" t="str">
        <x:v>Brother HL-1110/1200/1218W、DCP-1510</x:v>
      </x:c>
      <x:c r="J30" s="81" t="str">
        <x:v>结构识别；空闲超时兜底</x:v>
      </x:c>
      <x:c r="K30" s="81" t="str">
        <x:v>安装/usr/local/libexec/jvlei-prn-decoders/brdecode</x:v>
      </x:c>
      <x:c r="L30" s="81" t="str">
        <x:v>仅覆盖已验证HBP/XL2HB流</x:v>
      </x:c>
      <x:c r="M30" s="103" t="str">
        <x:v>高</x:v>
      </x:c>
      <x:c r="N30" s="81" t="str">
        <x:v>随研发包离线部署</x:v>
      </x:c>
      <x:c r="O30" s="81" t="str">
        <x:v>HL-1218W类主机型打印机可用</x:v>
      </x:c>
    </x:row>
    <x:row r="31" ht="58" customHeight="1">
      <x:c r="A31" s="103" t="str">
        <x:v>B</x:v>
      </x:c>
      <x:c r="B31" s="103" t="str">
        <x:v>B12</x:v>
      </x:c>
      <x:c r="C31" s="81" t="str">
        <x:v>PCL3 / PCL3GUI</x:v>
      </x:c>
      <x:c r="D31" s="81" t="str">
        <x:v>历史迁移</x:v>
      </x:c>
      <x:c r="E31" s="81" t="str">
        <x:v>转入C01，仅保留PRN</x:v>
      </x:c>
      <x:c r="F31" s="81" t="str">
        <x:v>禁止调用GhostPCL生成破损PDF</x:v>
      </x:c>
      <x:c r="G31" s="81" t="str">
        <x:v>完整编码链否定</x:v>
      </x:c>
      <x:c r="H31" s="81" t="str">
        <x:v>HPLIP hpcups</x:v>
      </x:c>
      <x:c r="I31" s="81" t="str">
        <x:v>HP DeskJet 2130/2330等</x:v>
      </x:c>
      <x:c r="J31" s="81" t="str">
        <x:v>识别后按空闲超时封包</x:v>
      </x:c>
      <x:c r="K31" s="81" t="str">
        <x:v>无需转换器</x:v>
      </x:c>
      <x:c r="L31" s="81" t="str">
        <x:v>GhostPCL返回成功但页面严重破碎</x:v>
      </x:c>
      <x:c r="M31" s="103" t="str">
        <x:v>只保留</x:v>
      </x:c>
      <x:c r="N31" s="81" t="str">
        <x:v>不适用</x:v>
      </x:c>
      <x:c r="O31" s="81" t="str">
        <x:v>已移至C01；不得标记为可转换</x:v>
      </x:c>
    </x:row>
    <x:row r="32" ht="58" customHeight="1">
      <x:c r="A32" s="103" t="str">
        <x:v>B</x:v>
      </x:c>
      <x:c r="B32" s="103" t="str">
        <x:v>B13</x:v>
      </x:c>
      <x:c r="C32" s="81" t="str">
        <x:v>Epson ESC/P</x:v>
      </x:c>
      <x:c r="D32" s="81" t="str">
        <x:v>条件支持</x:v>
      </x:c>
      <x:c r="E32" s="81" t="str">
        <x:v>生成PDF</x:v>
      </x:c>
      <x:c r="F32" s="81" t="str">
        <x:v>EscaPy 1.1.0</x:v>
      </x:c>
      <x:c r="G32" s="81" t="str">
        <x:v>K2B 9针/24针完整编码链验证</x:v>
      </x:c>
      <x:c r="H32" s="81" t="str">
        <x:v>Ghostscript epson/lq850编码链</x:v>
      </x:c>
      <x:c r="I32" s="81" t="str">
        <x:v>Epson FX-80/FX-890、LQ系列点阵机</x:v>
      </x:c>
      <x:c r="J32" s="81" t="str">
        <x:v>终端FF/ESC@安全预处理；空闲超时</x:v>
      </x:c>
      <x:c r="K32" s="81" t="str">
        <x:v>选择9针或24针，EscaPy必须已安装</x:v>
      </x:c>
      <x:c r="L32" s="81" t="str">
        <x:v>量产需处理AGPL合规；专用控制码仍需补测</x:v>
      </x:c>
      <x:c r="M32" s="103" t="str">
        <x:v>中</x:v>
      </x:c>
      <x:c r="N32" s="81" t="str">
        <x:v>EscaPy AGPL，仅当前研发板内部测试</x:v>
      </x:c>
      <x:c r="O32" s="81" t="str">
        <x:v>经典ESC/P页面内容验证通过</x:v>
      </x:c>
    </x:row>
    <x:row r="33" ht="58" customHeight="1">
      <x:c r="A33" s="103" t="str">
        <x:v>B</x:v>
      </x:c>
      <x:c r="B33" s="103" t="str">
        <x:v>B14</x:v>
      </x:c>
      <x:c r="C33" s="81" t="str">
        <x:v>Epson ESC/P2</x:v>
      </x:c>
      <x:c r="D33" s="81" t="str">
        <x:v>条件支持</x:v>
      </x:c>
      <x:c r="E33" s="81" t="str">
        <x:v>生成PDF</x:v>
      </x:c>
      <x:c r="F33" s="81" t="str">
        <x:v>EscaPy 1.1.0 + 型号Profile</x:v>
      </x:c>
      <x:c r="G33" s="81" t="str">
        <x:v>多型号完整编码链与页面验证</x:v>
      </x:c>
      <x:c r="H33" s="81" t="str">
        <x:v>Gutenprint 5.3.4</x:v>
      </x:c>
      <x:c r="I33" s="81" t="str">
        <x:v>XP-440、L120、L310、ET-2750、Stylus Photo R800</x:v>
      </x:c>
      <x:c r="J33" s="81" t="str">
        <x:v>严格识别REMOTE1指纹；空闲超时</x:v>
      </x:c>
      <x:c r="K33" s="81" t="str">
        <x:v>默认auto；c8x/c82选xp410，R800选sr800</x:v>
      </x:c>
      <x:c r="L33" s="81" t="str">
        <x:v>Profile不匹配会颜色通道错位；未知指纹必须保留PRN</x:v>
      </x:c>
      <x:c r="M33" s="103" t="str">
        <x:v>中</x:v>
      </x:c>
      <x:c r="N33" s="81" t="str">
        <x:v>EscaPy AGPL，仅当前研发板内部测试</x:v>
      </x:c>
      <x:c r="O33" s="81" t="str">
        <x:v>已验证xp410和sr800两类Profile</x:v>
      </x:c>
    </x:row>
    <x:row r="34" ht="58" customHeight="1">
      <x:c r="A34" s="103" t="str">
        <x:v>B</x:v>
      </x:c>
      <x:c r="B34" s="103" t="str">
        <x:v>B15</x:v>
      </x:c>
      <x:c r="C34" s="81" t="str">
        <x:v>Epson ESC/P-R</x:v>
      </x:c>
      <x:c r="D34" s="81" t="str">
        <x:v>完整支持</x:v>
      </x:c>
      <x:c r="E34" s="81" t="str">
        <x:v>生成PDF</x:v>
      </x:c>
      <x:c r="F34" s="81" t="str">
        <x:v>项目内置受限ESC/P-R解码器</x:v>
      </x:c>
      <x:c r="G34" s="81" t="str">
        <x:v>官方1.7.17多PPD完整编码链验证</x:v>
      </x:c>
      <x:c r="H34" s="81" t="str">
        <x:v>printer-driver-escpr 1.7.17</x:v>
      </x:c>
      <x:c r="I34" s="81" t="str">
        <x:v>Artisan 630、R260、ET-2750、WF-6590、XP-4100、L3250</x:v>
      </x:c>
      <x:c r="J34" s="81" t="str">
        <x:v>结构化endj + 官方REMOTE1收尾立即结束</x:v>
      </x:c>
      <x:c r="K34" s="81" t="str">
        <x:v>无需EscaPy；使用内置解码器</x:v>
      </x:c>
      <x:c r="L34" s="81" t="str">
        <x:v>仅支持已验证RGB未压缩/RLE；调色板/JPEG扩展只保留</x:v>
      </x:c>
      <x:c r="M34" s="103" t="str">
        <x:v>高</x:v>
      </x:c>
      <x:c r="N34" s="81" t="str">
        <x:v>项目内置；驱动仅用于研发编码验证</x:v>
      </x:c>
      <x:c r="O34" s="81" t="str">
        <x:v>COLOR、MONO和多页RGB已验证</x:v>
      </x:c>
    </x:row>
    <x:row r="35" ht="58" customHeight="1">
      <x:c r="A35" s="103" t="str">
        <x:v>C</x:v>
      </x:c>
      <x:c r="B35" s="103" t="str">
        <x:v>C01</x:v>
      </x:c>
      <x:c r="C35" s="81" t="str">
        <x:v>PCL3 / PCL3GUI</x:v>
      </x:c>
      <x:c r="D35" s="81" t="str">
        <x:v>仅识别</x:v>
      </x:c>
      <x:c r="E35" s="81" t="str">
        <x:v>保留并允许下载PRN</x:v>
      </x:c>
      <x:c r="F35" s="81" t="str">
        <x:v>高置信识别，禁止猜测性转换</x:v>
      </x:c>
      <x:c r="G35" s="81" t="str">
        <x:v>HPLIP完整编码链否定</x:v>
      </x:c>
      <x:c r="H35" s="81" t="str">
        <x:v>HPLIP hpcups</x:v>
      </x:c>
      <x:c r="I35" s="81" t="str">
        <x:v>HP DeskJet 2130/2330等主机型喷墨机</x:v>
      </x:c>
      <x:c r="J35" s="81" t="str">
        <x:v>识别后空闲超时</x:v>
      </x:c>
      <x:c r="K35" s="81" t="str">
        <x:v>无需配置</x:v>
      </x:c>
      <x:c r="L35" s="81" t="str">
        <x:v>现有GhostPCL会生成破损页面</x:v>
      </x:c>
      <x:c r="M35" s="103" t="str">
        <x:v>只保留</x:v>
      </x:c>
      <x:c r="N35" s="81" t="str">
        <x:v>项目内置识别器</x:v>
      </x:c>
      <x:c r="O35" s="81" t="str">
        <x:v>等待可靠解码器或新证据</x:v>
      </x:c>
    </x:row>
    <x:row r="36" ht="58" customHeight="1">
      <x:c r="A36" s="103" t="str">
        <x:v>C</x:v>
      </x:c>
      <x:c r="B36" s="103" t="str">
        <x:v>C02</x:v>
      </x:c>
      <x:c r="C36" s="81" t="str">
        <x:v>Canon UFR II / UFR II LT</x:v>
      </x:c>
      <x:c r="D36" s="81" t="str">
        <x:v>仅识别</x:v>
      </x:c>
      <x:c r="E36" s="81" t="str">
        <x:v>保留并允许下载PRN</x:v>
      </x:c>
      <x:c r="F36" s="81" t="str">
        <x:v>显式UFR标记识别</x:v>
      </x:c>
      <x:c r="G36" s="81" t="str">
        <x:v>高置信标记测试</x:v>
      </x:c>
      <x:c r="H36" s="81" t="str">
        <x:v>Canon UFR II / UFR II LT</x:v>
      </x:c>
      <x:c r="I36" s="81" t="str">
        <x:v>Canon MF3010、LBP212dw、imageRUNNER系列</x:v>
      </x:c>
      <x:c r="J36" s="81" t="str">
        <x:v>PJL/显式标记 + 空闲超时</x:v>
      </x:c>
      <x:c r="K36" s="81" t="str">
        <x:v>无需配置</x:v>
      </x:c>
      <x:c r="L36" s="81" t="str">
        <x:v>ARM64离线环境暂无可靠解码器</x:v>
      </x:c>
      <x:c r="M36" s="103" t="str">
        <x:v>只保留</x:v>
      </x:c>
      <x:c r="N36" s="81" t="str">
        <x:v>项目内置识别器</x:v>
      </x:c>
      <x:c r="O36" s="81" t="str">
        <x:v>型号支持时现场改用PCL6或PS</x:v>
      </x:c>
    </x:row>
    <x:row r="37" ht="58" customHeight="1">
      <x:c r="A37" s="103" t="str">
        <x:v>C</x:v>
      </x:c>
      <x:c r="B37" s="103" t="str">
        <x:v>C03</x:v>
      </x:c>
      <x:c r="C37" s="81" t="str">
        <x:v>Canon CAPT</x:v>
      </x:c>
      <x:c r="D37" s="81" t="str">
        <x:v>仅识别</x:v>
      </x:c>
      <x:c r="E37" s="81" t="str">
        <x:v>保留并允许下载PRN</x:v>
      </x:c>
      <x:c r="F37" s="81" t="str">
        <x:v>显式CAPT标记识别</x:v>
      </x:c>
      <x:c r="G37" s="81" t="str">
        <x:v>高置信标记测试</x:v>
      </x:c>
      <x:c r="H37" s="81" t="str">
        <x:v>Canon CAPT</x:v>
      </x:c>
      <x:c r="I37" s="81" t="str">
        <x:v>Canon LBP2900/3000</x:v>
      </x:c>
      <x:c r="J37" s="81" t="str">
        <x:v>显式标记 + 空闲超时</x:v>
      </x:c>
      <x:c r="K37" s="81" t="str">
        <x:v>无需配置</x:v>
      </x:c>
      <x:c r="L37" s="81" t="str">
        <x:v>厂商私有主机光栅，无可靠离线解码器</x:v>
      </x:c>
      <x:c r="M37" s="103" t="str">
        <x:v>只保留</x:v>
      </x:c>
      <x:c r="N37" s="81" t="str">
        <x:v>项目内置识别器</x:v>
      </x:c>
      <x:c r="O37" s="81" t="str">
        <x:v>优先收集真实PRN；不可生成占位PDF</x:v>
      </x:c>
    </x:row>
    <x:row r="38" ht="58" customHeight="1">
      <x:c r="A38" s="103" t="str">
        <x:v>C</x:v>
      </x:c>
      <x:c r="B38" s="103" t="str">
        <x:v>C04</x:v>
      </x:c>
      <x:c r="C38" s="81" t="str">
        <x:v>Pantum GDI</x:v>
      </x:c>
      <x:c r="D38" s="81" t="str">
        <x:v>仅识别</x:v>
      </x:c>
      <x:c r="E38" s="81" t="str">
        <x:v>保留并允许下载PRN</x:v>
      </x:c>
      <x:c r="F38" s="81" t="str">
        <x:v>Pantum + GDI上下文识别</x:v>
      </x:c>
      <x:c r="G38" s="81" t="str">
        <x:v>高置信标记测试</x:v>
      </x:c>
      <x:c r="H38" s="81" t="str">
        <x:v>Pantum Windows GDI</x:v>
      </x:c>
      <x:c r="I38" s="81" t="str">
        <x:v>Pantum P2200/P2500、M6500</x:v>
      </x:c>
      <x:c r="J38" s="81" t="str">
        <x:v>显式上下文 + 空闲超时</x:v>
      </x:c>
      <x:c r="K38" s="81" t="str">
        <x:v>无需配置</x:v>
      </x:c>
      <x:c r="L38" s="81" t="str">
        <x:v>缺协议资料和可靠ARM64解码器</x:v>
      </x:c>
      <x:c r="M38" s="103" t="str">
        <x:v>只保留</x:v>
      </x:c>
      <x:c r="N38" s="81" t="str">
        <x:v>项目内置识别器</x:v>
      </x:c>
      <x:c r="O38" s="81" t="str">
        <x:v>优先收集官方Windows驱动PRN</x:v>
      </x:c>
    </x:row>
    <x:row r="39" ht="58" customHeight="1">
      <x:c r="A39" s="103" t="str">
        <x:v>C</x:v>
      </x:c>
      <x:c r="B39" s="103" t="str">
        <x:v>C05</x:v>
      </x:c>
      <x:c r="C39" s="81" t="str">
        <x:v>Sharp SPLC</x:v>
      </x:c>
      <x:c r="D39" s="81" t="str">
        <x:v>仅识别</x:v>
      </x:c>
      <x:c r="E39" s="81" t="str">
        <x:v>保留并允许下载PRN</x:v>
      </x:c>
      <x:c r="F39" s="81" t="str">
        <x:v>Sharp厂商上下文 + SPLC联合识别</x:v>
      </x:c>
      <x:c r="G39" s="81" t="str">
        <x:v>歧义防护测试</x:v>
      </x:c>
      <x:c r="H39" s="81" t="str">
        <x:v>Sharp SPLC</x:v>
      </x:c>
      <x:c r="I39" s="81" t="str">
        <x:v>部分低端Sharp打印机（型号需现场确认）</x:v>
      </x:c>
      <x:c r="J39" s="81" t="str">
        <x:v>联合标记 + 空闲超时</x:v>
      </x:c>
      <x:c r="K39" s="81" t="str">
        <x:v>无需配置</x:v>
      </x:c>
      <x:c r="L39" s="81" t="str">
        <x:v>单独SPLC不能与Samsung SPL-C区分</x:v>
      </x:c>
      <x:c r="M39" s="103" t="str">
        <x:v>只保留</x:v>
      </x:c>
      <x:c r="N39" s="81" t="str">
        <x:v>项目内置识别器</x:v>
      </x:c>
      <x:c r="O39" s="81" t="str">
        <x:v>仅联合证据成立时报告Sharp SPLC</x:v>
      </x:c>
    </x:row>
    <x:row r="40" ht="58" customHeight="1">
      <x:c r="A40" s="103" t="str">
        <x:v>C</x:v>
      </x:c>
      <x:c r="B40" s="103" t="str">
        <x:v>C06</x:v>
      </x:c>
      <x:c r="C40" s="81" t="str">
        <x:v>Ricoh RPCS</x:v>
      </x:c>
      <x:c r="D40" s="81" t="str">
        <x:v>仅识别</x:v>
      </x:c>
      <x:c r="E40" s="81" t="str">
        <x:v>保留并允许下载PRN</x:v>
      </x:c>
      <x:c r="F40" s="81" t="str">
        <x:v>显式RPCS/PJL标记识别</x:v>
      </x:c>
      <x:c r="G40" s="81" t="str">
        <x:v>高置信标记测试</x:v>
      </x:c>
      <x:c r="H40" s="81" t="str">
        <x:v>Ricoh RPCS</x:v>
      </x:c>
      <x:c r="I40" s="81" t="str">
        <x:v>部分Ricoh Aficio/SP系列</x:v>
      </x:c>
      <x:c r="J40" s="81" t="str">
        <x:v>PJL/显式标记 + 空闲超时</x:v>
      </x:c>
      <x:c r="K40" s="81" t="str">
        <x:v>无需配置</x:v>
      </x:c>
      <x:c r="L40" s="81" t="str">
        <x:v>无可靠ARM64离线转换器</x:v>
      </x:c>
      <x:c r="M40" s="103" t="str">
        <x:v>只保留</x:v>
      </x:c>
      <x:c r="N40" s="81" t="str">
        <x:v>项目内置识别器</x:v>
      </x:c>
      <x:c r="O40" s="81" t="str">
        <x:v>型号支持时改用PCL/PS驱动</x:v>
      </x:c>
    </x:row>
    <x:row r="41" ht="58" customHeight="1">
      <x:c r="A41" s="103" t="str">
        <x:v>C</x:v>
      </x:c>
      <x:c r="B41" s="103" t="str">
        <x:v>C07</x:v>
      </x:c>
      <x:c r="C41" s="81" t="str">
        <x:v>Granite GIPD</x:v>
      </x:c>
      <x:c r="D41" s="81" t="str">
        <x:v>仅识别</x:v>
      </x:c>
      <x:c r="E41" s="81" t="str">
        <x:v>保留并允许下载PRN</x:v>
      </x:c>
      <x:c r="F41" s="81" t="str">
        <x:v>GDIJ/GDIP/GDIB结构识别</x:v>
      </x:c>
      <x:c r="G41" s="81" t="str">
        <x:v>源码反查与结构分析</x:v>
      </x:c>
      <x:c r="H41" s="81" t="str">
        <x:v>Granite GIPD</x:v>
      </x:c>
      <x:c r="I41" s="81" t="str">
        <x:v>Lexmark X500、Dell 1125MFP</x:v>
      </x:c>
      <x:c r="J41" s="81" t="str">
        <x:v>结构识别 + 空闲超时</x:v>
      </x:c>
      <x:c r="K41" s="81" t="str">
        <x:v>可选gipddecode仅用于诊断</x:v>
      </x:c>
      <x:c r="L41" s="81" t="str">
        <x:v>现有gipddecode不会导出页面，不能伪装成转换器</x:v>
      </x:c>
      <x:c r="M41" s="103" t="str">
        <x:v>只保留</x:v>
      </x:c>
      <x:c r="N41" s="81" t="str">
        <x:v>项目内置识别器</x:v>
      </x:c>
      <x:c r="O41" s="81" t="str">
        <x:v>保留PRN和诊断信息</x:v>
      </x:c>
    </x:row>
    <x:row r="42" ht="58" customHeight="1">
      <x:c r="A42" s="103" t="str">
        <x:v>C</x:v>
      </x:c>
      <x:c r="B42" s="103" t="str">
        <x:v>C08</x:v>
      </x:c>
      <x:c r="C42" s="81" t="str">
        <x:v>IBM AFP</x:v>
      </x:c>
      <x:c r="D42" s="81" t="str">
        <x:v>仅识别</x:v>
      </x:c>
      <x:c r="E42" s="81" t="str">
        <x:v>保留并允许下载PRN</x:v>
      </x:c>
      <x:c r="F42" s="81" t="str">
        <x:v>连续AFP结构化字段校验</x:v>
      </x:c>
      <x:c r="G42" s="81" t="str">
        <x:v>合成结构测试</x:v>
      </x:c>
      <x:c r="H42" s="81" t="str">
        <x:v>AFP/InfoPrint</x:v>
      </x:c>
      <x:c r="I42" s="81" t="str">
        <x:v>IBM InfoPrint及大型机打印任务</x:v>
      </x:c>
      <x:c r="J42" s="81" t="str">
        <x:v>结构字段连续性 + 空闲超时</x:v>
      </x:c>
      <x:c r="K42" s="81" t="str">
        <x:v>无需配置</x:v>
      </x:c>
      <x:c r="L42" s="81" t="str">
        <x:v>尚无当前ARM64离线页面渲染链</x:v>
      </x:c>
      <x:c r="M42" s="103" t="str">
        <x:v>只保留</x:v>
      </x:c>
      <x:c r="N42" s="81" t="str">
        <x:v>项目内置识别器</x:v>
      </x:c>
      <x:c r="O42" s="81" t="str">
        <x:v>需真实AFP任务扩充结构校验</x:v>
      </x:c>
    </x:row>
    <x:row r="43" ht="58" customHeight="1">
      <x:c r="A43" s="103" t="str">
        <x:v>C</x:v>
      </x:c>
      <x:c r="B43" s="103" t="str">
        <x:v>C09</x:v>
      </x:c>
      <x:c r="C43" s="81" t="str">
        <x:v>Epson ESC/Page</x:v>
      </x:c>
      <x:c r="D43" s="81" t="str">
        <x:v>仅识别</x:v>
      </x:c>
      <x:c r="E43" s="81" t="str">
        <x:v>保留并允许下载PRN</x:v>
      </x:c>
      <x:c r="F43" s="81" t="str">
        <x:v>ESC/Page语言标记识别</x:v>
      </x:c>
      <x:c r="G43" s="81" t="str">
        <x:v>协议标记测试</x:v>
      </x:c>
      <x:c r="H43" s="81" t="str">
        <x:v>Epson ESC/Page</x:v>
      </x:c>
      <x:c r="I43" s="81" t="str">
        <x:v>部分Epson AcuLaser型号</x:v>
      </x:c>
      <x:c r="J43" s="81" t="str">
        <x:v>语言标记 + 空闲超时</x:v>
      </x:c>
      <x:c r="K43" s="81" t="str">
        <x:v>无需配置</x:v>
      </x:c>
      <x:c r="L43" s="81" t="str">
        <x:v>EscaPy不等于ESC/Page解码器</x:v>
      </x:c>
      <x:c r="M43" s="103" t="str">
        <x:v>只保留</x:v>
      </x:c>
      <x:c r="N43" s="81" t="str">
        <x:v>项目内置识别器</x:v>
      </x:c>
      <x:c r="O43" s="81" t="str">
        <x:v>等待可靠解码路径</x:v>
      </x:c>
    </x:row>
    <x:row r="44" ht="58" customHeight="1">
      <x:c r="A44" s="103" t="str">
        <x:v>C</x:v>
      </x:c>
      <x:c r="B44" s="103" t="str">
        <x:v>C10</x:v>
      </x:c>
      <x:c r="C44" s="81" t="str">
        <x:v>Zebra ZPL / EPL / CPCL</x:v>
      </x:c>
      <x:c r="D44" s="81" t="str">
        <x:v>仅识别</x:v>
      </x:c>
      <x:c r="E44" s="81" t="str">
        <x:v>保留并允许下载PRN</x:v>
      </x:c>
      <x:c r="F44" s="81" t="str">
        <x:v>作业头与命令组合识别</x:v>
      </x:c>
      <x:c r="G44" s="81" t="str">
        <x:v>结构命令测试</x:v>
      </x:c>
      <x:c r="H44" s="81" t="str">
        <x:v>ZDesigner ZPL/EPL/CPCL</x:v>
      </x:c>
      <x:c r="I44" s="81" t="str">
        <x:v>Zebra GK/ZD系列及兼容标签机</x:v>
      </x:c>
      <x:c r="J44" s="81" t="str">
        <x:v>协议命令 + 空闲超时</x:v>
      </x:c>
      <x:c r="K44" s="81" t="str">
        <x:v>无需配置</x:v>
      </x:c>
      <x:c r="L44" s="81" t="str">
        <x:v>当前产品面向A4报告，标签渲染优先级较低</x:v>
      </x:c>
      <x:c r="M44" s="103" t="str">
        <x:v>只保留</x:v>
      </x:c>
      <x:c r="N44" s="81" t="str">
        <x:v>项目内置识别器</x:v>
      </x:c>
      <x:c r="O44" s="81" t="str">
        <x:v>准确分类后保留原始标签流</x:v>
      </x:c>
    </x:row>
    <x:row r="45" ht="58" customHeight="1">
      <x:c r="A45" s="104" t="str">
        <x:v>C</x:v>
      </x:c>
      <x:c r="B45" s="104" t="str">
        <x:v>C11</x:v>
      </x:c>
      <x:c r="C45" s="83" t="str">
        <x:v>Printrex</x:v>
      </x:c>
      <x:c r="D45" s="83" t="str">
        <x:v>仅识别</x:v>
      </x:c>
      <x:c r="E45" s="83" t="str">
        <x:v>保留并允许下载PRN</x:v>
      </x:c>
      <x:c r="F45" s="83" t="str">
        <x:v>明确Printrex厂商标记识别</x:v>
      </x:c>
      <x:c r="G45" s="83" t="str">
        <x:v>标记测试</x:v>
      </x:c>
      <x:c r="H45" s="83" t="str">
        <x:v>Printrex专用驱动</x:v>
      </x:c>
      <x:c r="I45" s="83" t="str">
        <x:v>Printrex医疗热敏打印机</x:v>
      </x:c>
      <x:c r="J45" s="83" t="str">
        <x:v>厂商标记 + 空闲超时</x:v>
      </x:c>
      <x:c r="K45" s="83" t="str">
        <x:v>无需配置</x:v>
      </x:c>
      <x:c r="L45" s="83" t="str">
        <x:v>缺真实样本与协议资料</x:v>
      </x:c>
      <x:c r="M45" s="104" t="str">
        <x:v>只保留</x:v>
      </x:c>
      <x:c r="N45" s="83" t="str">
        <x:v>项目内置识别器</x:v>
      </x:c>
      <x:c r="O45" s="83" t="str">
        <x:v>必须先取得真实PRN再评估转换</x:v>
      </x:c>
    </x:row>
  </x:sheetData>
  <x:mergeCells>
    <x:mergeCell ref="A1:O1"/>
    <x:mergeCell ref="A2:O2"/>
  </x:mergeCells>
  <x:conditionalFormatting sqref="D6:D45">
    <x:cfRule type="containsText" dxfId="4" priority="1" operator="containsText" text="完整支持"/>
    <x:cfRule type="containsText" dxfId="5" priority="2" operator="containsText" text="条件支持"/>
    <x:cfRule type="containsText" dxfId="6" priority="3" operator="containsText" text="仅识别"/>
    <x:cfRule type="containsText" dxfId="7" priority="4" operator="containsText" text="历史迁移"/>
  </x:conditionalFormatting>
  <x:pageMargins left="0.7" right="0.7" top="0.75" bottom="0.75" header="0.3" footer="0.3"/>
  <x:tableParts count="1">
    <x:tablePart xmlns:r="http://schemas.openxmlformats.org/officeDocument/2006/relationships" r:id="Rac46a41cfb2543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1" hidden="0" customWidth="1"/>
    <x:col min="3" max="3" width="27" hidden="0" customWidth="1"/>
    <x:col min="4" max="4" width="12" hidden="0" customWidth="1"/>
    <x:col min="5" max="5" width="20" hidden="0" customWidth="1"/>
    <x:col min="6" max="6" width="25" hidden="0" customWidth="1"/>
    <x:col min="7" max="7" width="23" hidden="0" customWidth="1"/>
    <x:col min="8" max="8" width="29" hidden="0" customWidth="1"/>
    <x:col min="9" max="9" width="28" hidden="0" customWidth="1"/>
    <x:col min="10" max="10" width="42" hidden="0" customWidth="1"/>
  </x:cols>
  <x:sheetData>
    <x:row r="1" ht="34" customHeight="1">
      <x:c r="A1" s="74" t="str">
        <x:v>打印机型号、驱动与网关处理对应</x:v>
      </x:c>
      <x:c r="B1" s="74" t="str">
        <x:v>打印机型号、驱动与网关处理对应</x:v>
      </x:c>
      <x:c r="C1" s="74" t="str">
        <x:v>打印机型号、驱动与网关处理对应</x:v>
      </x:c>
      <x:c r="D1" s="74" t="str">
        <x:v>打印机型号、驱动与网关处理对应</x:v>
      </x:c>
      <x:c r="E1" s="74" t="str">
        <x:v>打印机型号、驱动与网关处理对应</x:v>
      </x:c>
      <x:c r="F1" s="74" t="str">
        <x:v>打印机型号、驱动与网关处理对应</x:v>
      </x:c>
      <x:c r="G1" s="74" t="str">
        <x:v>打印机型号、驱动与网关处理对应</x:v>
      </x:c>
      <x:c r="H1" s="74" t="str">
        <x:v>打印机型号、驱动与网关处理对应</x:v>
      </x:c>
      <x:c r="I1" s="74" t="str">
        <x:v>打印机型号、驱动与网关处理对应</x:v>
      </x:c>
      <x:c r="J1" s="74" t="str">
        <x:v>打印机型号、驱动与网关处理对应</x:v>
      </x:c>
    </x:row>
    <x:row r="2" ht="30" customHeight="1">
      <x:c r="A2" s="75" t="str">
        <x:v>本表用于选型和现场配置；同一型号可因Windows/Linux驱动不同而对应不同协议，必须结合实际PRN分析结果。</x:v>
      </x:c>
      <x:c r="B2" s="75" t="str">
        <x:v>本表用于选型和现场配置；同一型号可因Windows/Linux驱动不同而对应不同协议，必须结合实际PRN分析结果。</x:v>
      </x:c>
      <x:c r="C2" s="75" t="str">
        <x:v>本表用于选型和现场配置；同一型号可因Windows/Linux驱动不同而对应不同协议，必须结合实际PRN分析结果。</x:v>
      </x:c>
      <x:c r="D2" s="75" t="str">
        <x:v>本表用于选型和现场配置；同一型号可因Windows/Linux驱动不同而对应不同协议，必须结合实际PRN分析结果。</x:v>
      </x:c>
      <x:c r="E2" s="75" t="str">
        <x:v>本表用于选型和现场配置；同一型号可因Windows/Linux驱动不同而对应不同协议，必须结合实际PRN分析结果。</x:v>
      </x:c>
      <x:c r="F2" s="75" t="str">
        <x:v>本表用于选型和现场配置；同一型号可因Windows/Linux驱动不同而对应不同协议，必须结合实际PRN分析结果。</x:v>
      </x:c>
      <x:c r="G2" s="75" t="str">
        <x:v>本表用于选型和现场配置；同一型号可因Windows/Linux驱动不同而对应不同协议，必须结合实际PRN分析结果。</x:v>
      </x:c>
      <x:c r="H2" s="75" t="str">
        <x:v>本表用于选型和现场配置；同一型号可因Windows/Linux驱动不同而对应不同协议，必须结合实际PRN分析结果。</x:v>
      </x:c>
      <x:c r="I2" s="75" t="str">
        <x:v>本表用于选型和现场配置；同一型号可因Windows/Linux驱动不同而对应不同协议，必须结合实际PRN分析结果。</x:v>
      </x:c>
      <x:c r="J2" s="75" t="str">
        <x:v>本表用于选型和现场配置；同一型号可因Windows/Linux驱动不同而对应不同协议，必须结合实际PRN分析结果。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</x:row>
    <x:row r="5" ht="34" customHeight="1">
      <x:c r="A5" s="77" t="str">
        <x:v>厂商</x:v>
      </x:c>
      <x:c r="B5" s="77" t="str">
        <x:v>型号/系列</x:v>
      </x:c>
      <x:c r="C5" s="77" t="str">
        <x:v>推荐或实际驱动/语言</x:v>
      </x:c>
      <x:c r="D5" s="77" t="str">
        <x:v>对应编号</x:v>
      </x:c>
      <x:c r="E5" s="77" t="str">
        <x:v>网关状态</x:v>
      </x:c>
      <x:c r="F5" s="77" t="str">
        <x:v>转换链</x:v>
      </x:c>
      <x:c r="G5" s="77" t="str">
        <x:v>页面/Profile</x:v>
      </x:c>
      <x:c r="H5" s="77" t="str">
        <x:v>实测/依据</x:v>
      </x:c>
      <x:c r="I5" s="77" t="str">
        <x:v>可替代驱动</x:v>
      </x:c>
      <x:c r="J5" s="77" t="str">
        <x:v>现场注意</x:v>
      </x:c>
    </x:row>
    <x:row r="6" ht="52" customHeight="1">
      <x:c r="A6" s="79" t="str">
        <x:v>HP</x:v>
      </x:c>
      <x:c r="B6" s="79" t="str">
        <x:v>LaserJet Pro 400 M401</x:v>
      </x:c>
      <x:c r="C6" s="79" t="str">
        <x:v>PCL6 / PCL XL</x:v>
      </x:c>
      <x:c r="D6" s="79" t="str">
        <x:v>A04</x:v>
      </x:c>
      <x:c r="E6" s="79" t="str">
        <x:v>完整支持</x:v>
      </x:c>
      <x:c r="F6" s="79" t="str">
        <x:v>GhostPCL</x:v>
      </x:c>
      <x:c r="G6" s="79" t="str">
        <x:v>无需Profile</x:v>
      </x:c>
      <x:c r="H6" s="79" t="str">
        <x:v>已有真实PCL XL路径经验</x:v>
      </x:c>
      <x:c r="I6" s="79" t="str">
        <x:v>PostScript或PCL5</x:v>
      </x:c>
      <x:c r="J6" s="79" t="str">
        <x:v>优先安装PCL6驱动；同一型号仍以实际PRN为准</x:v>
      </x:c>
    </x:row>
    <x:row r="7" ht="52" customHeight="1">
      <x:c r="A7" s="81" t="str">
        <x:v>Brother</x:v>
      </x:c>
      <x:c r="B7" s="81" t="str">
        <x:v>HL-5590DN</x:v>
      </x:c>
      <x:c r="C7" s="81" t="str">
        <x:v>PCL6 / PCL XL</x:v>
      </x:c>
      <x:c r="D7" s="81" t="str">
        <x:v>A04</x:v>
      </x:c>
      <x:c r="E7" s="81" t="str">
        <x:v>完整支持</x:v>
      </x:c>
      <x:c r="F7" s="81" t="str">
        <x:v>GhostPCL</x:v>
      </x:c>
      <x:c r="G7" s="81" t="str">
        <x:v>无需Profile</x:v>
      </x:c>
      <x:c r="H7" s="81" t="str">
        <x:v>标准PCL6路径</x:v>
      </x:c>
      <x:c r="I7" s="81" t="str">
        <x:v>BR-Script/PostScript</x:v>
      </x:c>
      <x:c r="J7" s="81" t="str">
        <x:v>不要选择私有HBP驱动</x:v>
      </x:c>
    </x:row>
    <x:row r="8" ht="52" customHeight="1">
      <x:c r="A8" s="81" t="str">
        <x:v>HP</x:v>
      </x:c>
      <x:c r="B8" s="81" t="str">
        <x:v>通用LaserJet / 旧款LaserJet</x:v>
      </x:c>
      <x:c r="C8" s="81" t="str">
        <x:v>PCL5e/PCL5c</x:v>
      </x:c>
      <x:c r="D8" s="81" t="str">
        <x:v>A03</x:v>
      </x:c>
      <x:c r="E8" s="81" t="str">
        <x:v>完整支持</x:v>
      </x:c>
      <x:c r="F8" s="81" t="str">
        <x:v>GhostPCL</x:v>
      </x:c>
      <x:c r="G8" s="81" t="str">
        <x:v>无需Profile</x:v>
      </x:c>
      <x:c r="H8" s="81" t="str">
        <x:v>真实PRN验证</x:v>
      </x:c>
      <x:c r="I8" s="81" t="str">
        <x:v>PCL6或PostScript</x:v>
      </x:c>
      <x:c r="J8" s="81" t="str">
        <x:v>设备支持PCL6时优先PCL6</x:v>
      </x:c>
    </x:row>
    <x:row r="9" ht="52" customHeight="1">
      <x:c r="A9" s="81" t="str">
        <x:v>Brother</x:v>
      </x:c>
      <x:c r="B9" s="81" t="str">
        <x:v>支持BR-Script的激光机</x:v>
      </x:c>
      <x:c r="C9" s="81" t="str">
        <x:v>BR-Script / PostScript</x:v>
      </x:c>
      <x:c r="D9" s="81" t="str">
        <x:v>A02</x:v>
      </x:c>
      <x:c r="E9" s="81" t="str">
        <x:v>完整支持</x:v>
      </x:c>
      <x:c r="F9" s="81" t="str">
        <x:v>Ghostscript</x:v>
      </x:c>
      <x:c r="G9" s="81" t="str">
        <x:v>无需Profile</x:v>
      </x:c>
      <x:c r="H9" s="81" t="str">
        <x:v>真实PostScript路径</x:v>
      </x:c>
      <x:c r="I9" s="81" t="str">
        <x:v>PCL6</x:v>
      </x:c>
      <x:c r="J9" s="81" t="str">
        <x:v>优先使用标准PS/PCL6</x:v>
      </x:c>
    </x:row>
    <x:row r="10" ht="52" customHeight="1">
      <x:c r="A10" s="81" t="str">
        <x:v>HP</x:v>
      </x:c>
      <x:c r="B10" s="81" t="str">
        <x:v>DesignJet 500/800及兼容绘图仪</x:v>
      </x:c>
      <x:c r="C10" s="81" t="str">
        <x:v>HP-GL/2</x:v>
      </x:c>
      <x:c r="D10" s="81" t="str">
        <x:v>A05</x:v>
      </x:c>
      <x:c r="E10" s="81" t="str">
        <x:v>完整支持</x:v>
      </x:c>
      <x:c r="F10" s="81" t="str">
        <x:v>GhostPCL</x:v>
      </x:c>
      <x:c r="G10" s="81" t="str">
        <x:v>无需Profile</x:v>
      </x:c>
      <x:c r="H10" s="81" t="str">
        <x:v>完整编码链</x:v>
      </x:c>
      <x:c r="I10" s="81" t="str">
        <x:v>PostScript（若支持）</x:v>
      </x:c>
      <x:c r="J10" s="81" t="str">
        <x:v>复杂CAD宏建议现场补打一份</x:v>
      </x:c>
    </x:row>
    <x:row r="11" ht="52" customHeight="1">
      <x:c r="A11" s="81" t="str">
        <x:v>通用</x:v>
      </x:c>
      <x:c r="B11" s="81" t="str">
        <x:v>IPP Everywhere打印机</x:v>
      </x:c>
      <x:c r="C11" s="81" t="str">
        <x:v>PWG Raster</x:v>
      </x:c>
      <x:c r="D11" s="81" t="str">
        <x:v>A07</x:v>
      </x:c>
      <x:c r="E11" s="81" t="str">
        <x:v>完整支持</x:v>
      </x:c>
      <x:c r="F11" s="81" t="str">
        <x:v>CUPS pwgtopdf</x:v>
      </x:c>
      <x:c r="G11" s="81" t="str">
        <x:v>无需Profile</x:v>
      </x:c>
      <x:c r="H11" s="81" t="str">
        <x:v>K2B编码链</x:v>
      </x:c>
      <x:c r="I11" s="81" t="str">
        <x:v>PDF/PCLm</x:v>
      </x:c>
      <x:c r="J11" s="81" t="str">
        <x:v>确认电脑实际使用driverless路径</x:v>
      </x:c>
    </x:row>
    <x:row r="12" ht="52" customHeight="1">
      <x:c r="A12" s="81" t="str">
        <x:v>通用</x:v>
      </x:c>
      <x:c r="B12" s="81" t="str">
        <x:v>AirPrint打印机</x:v>
      </x:c>
      <x:c r="C12" s="81" t="str">
        <x:v>Apple URF</x:v>
      </x:c>
      <x:c r="D12" s="81" t="str">
        <x:v>A10</x:v>
      </x:c>
      <x:c r="E12" s="81" t="str">
        <x:v>完整支持</x:v>
      </x:c>
      <x:c r="F12" s="81" t="str">
        <x:v>CUPS pwgtopdf</x:v>
      </x:c>
      <x:c r="G12" s="81" t="str">
        <x:v>无需Profile</x:v>
      </x:c>
      <x:c r="H12" s="81" t="str">
        <x:v>K2B编码链</x:v>
      </x:c>
      <x:c r="I12" s="81" t="str">
        <x:v>PDF/PWG Raster</x:v>
      </x:c>
      <x:c r="J12" s="81" t="str">
        <x:v>macOS/iOS可能根据能力协商不同格式</x:v>
      </x:c>
    </x:row>
    <x:row r="13" ht="52" customHeight="1">
      <x:c r="A13" s="81" t="str">
        <x:v>HP</x:v>
      </x:c>
      <x:c r="B13" s="81" t="str">
        <x:v>LaserJet 1000/1018/1020/P1102</x:v>
      </x:c>
      <x:c r="C13" s="81" t="str">
        <x:v>ZjStream</x:v>
      </x:c>
      <x:c r="D13" s="81" t="str">
        <x:v>B01</x:v>
      </x:c>
      <x:c r="E13" s="81" t="str">
        <x:v>完整支持</x:v>
      </x:c>
      <x:c r="F13" s="81" t="str">
        <x:v>zjsdecode + Pillow</x:v>
      </x:c>
      <x:c r="G13" s="81" t="str">
        <x:v>无需Profile</x:v>
      </x:c>
      <x:c r="H13" s="81" t="str">
        <x:v>真实PRN验证</x:v>
      </x:c>
      <x:c r="I13" s="81" t="str">
        <x:v>PCL6（型号支持时）</x:v>
      </x:c>
      <x:c r="J13" s="81" t="str">
        <x:v>固件下载流不是报告，网关会忽略</x:v>
      </x:c>
    </x:row>
    <x:row r="14" ht="52" customHeight="1">
      <x:c r="A14" s="81" t="str">
        <x:v>Konica Minolta</x:v>
      </x:c>
      <x:c r="B14" s="81" t="str">
        <x:v>magicolor 2430DL</x:v>
      </x:c>
      <x:c r="C14" s="81" t="str">
        <x:v>ZjStream</x:v>
      </x:c>
      <x:c r="D14" s="81" t="str">
        <x:v>B01</x:v>
      </x:c>
      <x:c r="E14" s="81" t="str">
        <x:v>完整支持</x:v>
      </x:c>
      <x:c r="F14" s="81" t="str">
        <x:v>zjsdecode + Pillow</x:v>
      </x:c>
      <x:c r="G14" s="81" t="str">
        <x:v>无需Profile</x:v>
      </x:c>
      <x:c r="H14" s="81" t="str">
        <x:v>协议代表型号</x:v>
      </x:c>
      <x:c r="I14" s="81" t="str">
        <x:v>标准PCL/PS（若支持）</x:v>
      </x:c>
      <x:c r="J14" s="81" t="str">
        <x:v>现场确认驱动版本</x:v>
      </x:c>
    </x:row>
    <x:row r="15" ht="52" customHeight="1">
      <x:c r="A15" s="81" t="str">
        <x:v>Samsung</x:v>
      </x:c>
      <x:c r="B15" s="81" t="str">
        <x:v>CLP-300/315/325</x:v>
      </x:c>
      <x:c r="C15" s="81" t="str">
        <x:v>QPDL / SPL-C</x:v>
      </x:c>
      <x:c r="D15" s="81" t="str">
        <x:v>B02</x:v>
      </x:c>
      <x:c r="E15" s="81" t="str">
        <x:v>完整支持</x:v>
      </x:c>
      <x:c r="F15" s="81" t="str">
        <x:v>qpdldecode + Pillow</x:v>
      </x:c>
      <x:c r="G15" s="81" t="str">
        <x:v>无需Profile</x:v>
      </x:c>
      <x:c r="H15" s="81" t="str">
        <x:v>完整编码链</x:v>
      </x:c>
      <x:c r="I15" s="81" t="str">
        <x:v>PCL/PS（若型号支持）</x:v>
      </x:c>
      <x:c r="J15" s="81" t="str">
        <x:v>不要与Sharp SPLC混淆</x:v>
      </x:c>
    </x:row>
    <x:row r="16" ht="52" customHeight="1">
      <x:c r="A16" s="81" t="str">
        <x:v>Xerox</x:v>
      </x:c>
      <x:c r="B16" s="81" t="str">
        <x:v>Phaser 6110</x:v>
      </x:c>
      <x:c r="C16" s="81" t="str">
        <x:v>QPDL / SPL-C</x:v>
      </x:c>
      <x:c r="D16" s="81" t="str">
        <x:v>B02</x:v>
      </x:c>
      <x:c r="E16" s="81" t="str">
        <x:v>完整支持</x:v>
      </x:c>
      <x:c r="F16" s="81" t="str">
        <x:v>qpdldecode + Pillow</x:v>
      </x:c>
      <x:c r="G16" s="81" t="str">
        <x:v>无需Profile</x:v>
      </x:c>
      <x:c r="H16" s="81" t="str">
        <x:v>协议代表型号</x:v>
      </x:c>
      <x:c r="I16" s="81" t="str">
        <x:v>标准PS（若支持）</x:v>
      </x:c>
      <x:c r="J16" s="81" t="str">
        <x:v>现场确认PRN头部</x:v>
      </x:c>
    </x:row>
    <x:row r="17" ht="52" customHeight="1">
      <x:c r="A17" s="81" t="str">
        <x:v>HP</x:v>
      </x:c>
      <x:c r="B17" s="81" t="str">
        <x:v>LaserJet M1005 / P1005 / P1006 / P1505</x:v>
      </x:c>
      <x:c r="C17" s="81" t="str">
        <x:v>XQX</x:v>
      </x:c>
      <x:c r="D17" s="81" t="str">
        <x:v>B03</x:v>
      </x:c>
      <x:c r="E17" s="81" t="str">
        <x:v>完整支持</x:v>
      </x:c>
      <x:c r="F17" s="81" t="str">
        <x:v>xqxdecode + Pillow</x:v>
      </x:c>
      <x:c r="G17" s="81" t="str">
        <x:v>无需Profile</x:v>
      </x:c>
      <x:c r="H17" s="81" t="str">
        <x:v>完整编码链</x:v>
      </x:c>
      <x:c r="I17" s="81" t="str">
        <x:v>PCL（若型号支持）</x:v>
      </x:c>
      <x:c r="J17" s="81" t="str">
        <x:v>高分辨率会按物理尺寸安全降采样</x:v>
      </x:c>
    </x:row>
    <x:row r="18" ht="52" customHeight="1">
      <x:c r="A18" s="81" t="str">
        <x:v>OKI</x:v>
      </x:c>
      <x:c r="B18" s="81" t="str">
        <x:v>C310/C3200/C3300/C5100</x:v>
      </x:c>
      <x:c r="C18" s="81" t="str">
        <x:v>HIPERC</x:v>
      </x:c>
      <x:c r="D18" s="81" t="str">
        <x:v>B04</x:v>
      </x:c>
      <x:c r="E18" s="81" t="str">
        <x:v>完整支持</x:v>
      </x:c>
      <x:c r="F18" s="81" t="str">
        <x:v>hipercdecode + Pillow</x:v>
      </x:c>
      <x:c r="G18" s="81" t="str">
        <x:v>无需Profile</x:v>
      </x:c>
      <x:c r="H18" s="81" t="str">
        <x:v>完整编码链</x:v>
      </x:c>
      <x:c r="I18" s="81" t="str">
        <x:v>PCL/PS（型号支持时）</x:v>
      </x:c>
      <x:c r="J18" s="81" t="str">
        <x:v>优先标准驱动，HIPERC作为兼容路径</x:v>
      </x:c>
    </x:row>
    <x:row r="19" ht="52" customHeight="1">
      <x:c r="A19" s="81" t="str">
        <x:v>Dell</x:v>
      </x:c>
      <x:c r="B19" s="81" t="str">
        <x:v>1355/C1765</x:v>
      </x:c>
      <x:c r="C19" s="81" t="str">
        <x:v>HBPL2</x:v>
      </x:c>
      <x:c r="D19" s="81" t="str">
        <x:v>B05</x:v>
      </x:c>
      <x:c r="E19" s="81" t="str">
        <x:v>完整支持</x:v>
      </x:c>
      <x:c r="F19" s="81" t="str">
        <x:v>hbpldecode + Pillow</x:v>
      </x:c>
      <x:c r="G19" s="81" t="str">
        <x:v>无需Profile</x:v>
      </x:c>
      <x:c r="H19" s="81" t="str">
        <x:v>单色/彩色编码链</x:v>
      </x:c>
      <x:c r="I19" s="81" t="str">
        <x:v>PCL/PS（若支持）</x:v>
      </x:c>
      <x:c r="J19" s="81" t="str">
        <x:v>颜色平面按已验证方言解析</x:v>
      </x:c>
    </x:row>
    <x:row r="20" ht="52" customHeight="1">
      <x:c r="A20" s="81" t="str">
        <x:v>Epson</x:v>
      </x:c>
      <x:c r="B20" s="81" t="str">
        <x:v>AcuLaser CX17/M1400</x:v>
      </x:c>
      <x:c r="C20" s="81" t="str">
        <x:v>HBPL/HBPL2</x:v>
      </x:c>
      <x:c r="D20" s="81" t="str">
        <x:v>B05</x:v>
      </x:c>
      <x:c r="E20" s="81" t="str">
        <x:v>完整支持</x:v>
      </x:c>
      <x:c r="F20" s="81" t="str">
        <x:v>hbpldecode + Pillow</x:v>
      </x:c>
      <x:c r="G20" s="81" t="str">
        <x:v>无需Profile</x:v>
      </x:c>
      <x:c r="H20" s="81" t="str">
        <x:v>协议代表型号</x:v>
      </x:c>
      <x:c r="I20" s="81" t="str">
        <x:v>ESC/Page/PCL（视型号）</x:v>
      </x:c>
      <x:c r="J20" s="81" t="str">
        <x:v>ESC/Page本身仍仅识别</x:v>
      </x:c>
    </x:row>
    <x:row r="21" ht="52" customHeight="1">
      <x:c r="A21" s="81" t="str">
        <x:v>Ricoh</x:v>
      </x:c>
      <x:c r="B21" s="81" t="str">
        <x:v>SP 112</x:v>
      </x:c>
      <x:c r="C21" s="81" t="str">
        <x:v>DDST</x:v>
      </x:c>
      <x:c r="D21" s="81" t="str">
        <x:v>B06</x:v>
      </x:c>
      <x:c r="E21" s="81" t="str">
        <x:v>完整支持</x:v>
      </x:c>
      <x:c r="F21" s="81" t="str">
        <x:v>ddstdecode + Pillow</x:v>
      </x:c>
      <x:c r="G21" s="81" t="str">
        <x:v>无需Profile</x:v>
      </x:c>
      <x:c r="H21" s="81" t="str">
        <x:v>A4 600dpi编码链</x:v>
      </x:c>
      <x:c r="I21" s="81" t="str">
        <x:v>PCL/PS（若支持）</x:v>
      </x:c>
      <x:c r="J21" s="81" t="str">
        <x:v>当前主要验证单色A4</x:v>
      </x:c>
    </x:row>
    <x:row r="22" ht="52" customHeight="1">
      <x:c r="A22" s="81" t="str">
        <x:v>Konica Minolta</x:v>
      </x:c>
      <x:c r="B22" s="81" t="str">
        <x:v>magicolor 1600W/1690MF/2530DL</x:v>
      </x:c>
      <x:c r="C22" s="81" t="str">
        <x:v>LAVAFLOW</x:v>
      </x:c>
      <x:c r="D22" s="81" t="str">
        <x:v>B07</x:v>
      </x:c>
      <x:c r="E22" s="81" t="str">
        <x:v>完整支持</x:v>
      </x:c>
      <x:c r="F22" s="81" t="str">
        <x:v>lavadecode + Pillow</x:v>
      </x:c>
      <x:c r="G22" s="81" t="str">
        <x:v>无需Profile</x:v>
      </x:c>
      <x:c r="H22" s="81" t="str">
        <x:v>单色/彩色编码链</x:v>
      </x:c>
      <x:c r="I22" s="81" t="str">
        <x:v>PCL/PS（若支持）</x:v>
      </x:c>
      <x:c r="J22" s="81" t="str">
        <x:v>颜色测试未使用厂商专有ICM</x:v>
      </x:c>
    </x:row>
    <x:row r="23" ht="52" customHeight="1">
      <x:c r="A23" s="81" t="str">
        <x:v>Xerox</x:v>
      </x:c>
      <x:c r="B23" s="81" t="str">
        <x:v>6115MFP</x:v>
      </x:c>
      <x:c r="C23" s="81" t="str">
        <x:v>LAVAFLOW</x:v>
      </x:c>
      <x:c r="D23" s="81" t="str">
        <x:v>B07</x:v>
      </x:c>
      <x:c r="E23" s="81" t="str">
        <x:v>完整支持</x:v>
      </x:c>
      <x:c r="F23" s="81" t="str">
        <x:v>lavadecode + Pillow</x:v>
      </x:c>
      <x:c r="G23" s="81" t="str">
        <x:v>无需Profile</x:v>
      </x:c>
      <x:c r="H23" s="81" t="str">
        <x:v>协议代表型号</x:v>
      </x:c>
      <x:c r="I23" s="81" t="str">
        <x:v>PostScript（若支持）</x:v>
      </x:c>
      <x:c r="J23" s="81" t="str">
        <x:v>现场确认实际驱动</x:v>
      </x:c>
    </x:row>
    <x:row r="24" ht="52" customHeight="1">
      <x:c r="A24" s="81" t="str">
        <x:v>Konica Minolta</x:v>
      </x:c>
      <x:c r="B24" s="81" t="str">
        <x:v>magicolor 2480MF</x:v>
      </x:c>
      <x:c r="C24" s="81" t="str">
        <x:v>Raster Object / OPL</x:v>
      </x:c>
      <x:c r="D24" s="81" t="str">
        <x:v>B08</x:v>
      </x:c>
      <x:c r="E24" s="81" t="str">
        <x:v>完整支持</x:v>
      </x:c>
      <x:c r="F24" s="81" t="str">
        <x:v>opldecode + Pillow</x:v>
      </x:c>
      <x:c r="G24" s="81" t="str">
        <x:v>无需Profile</x:v>
      </x:c>
      <x:c r="H24" s="81" t="str">
        <x:v>单色/彩色编码链</x:v>
      </x:c>
      <x:c r="I24" s="81" t="str">
        <x:v>PCL/PS（若支持）</x:v>
      </x:c>
      <x:c r="J24" s="81" t="str">
        <x:v>使用隔离修正版解码器</x:v>
      </x:c>
    </x:row>
    <x:row r="25" ht="52" customHeight="1">
      <x:c r="A25" s="81" t="str">
        <x:v>Lexmark</x:v>
      </x:c>
      <x:c r="B25" s="81" t="str">
        <x:v>C500n</x:v>
      </x:c>
      <x:c r="C25" s="81" t="str">
        <x:v>SLX</x:v>
      </x:c>
      <x:c r="D25" s="81" t="str">
        <x:v>B09</x:v>
      </x:c>
      <x:c r="E25" s="81" t="str">
        <x:v>完整支持</x:v>
      </x:c>
      <x:c r="F25" s="81" t="str">
        <x:v>slxdecode + Pillow</x:v>
      </x:c>
      <x:c r="G25" s="81" t="str">
        <x:v>无需Profile</x:v>
      </x:c>
      <x:c r="H25" s="81" t="str">
        <x:v>单色/彩色编码链</x:v>
      </x:c>
      <x:c r="I25" s="81" t="str">
        <x:v>PostScript/PCL（若支持）</x:v>
      </x:c>
      <x:c r="J25" s="81" t="str">
        <x:v>当前覆盖已验证颜色平面布局</x:v>
      </x:c>
    </x:row>
    <x:row r="26" ht="52" customHeight="1">
      <x:c r="A26" s="81" t="str">
        <x:v>HP</x:v>
      </x:c>
      <x:c r="B26" s="81" t="str">
        <x:v>Color LaserJet 1500</x:v>
      </x:c>
      <x:c r="C26" s="81" t="str">
        <x:v>OAKT</x:v>
      </x:c>
      <x:c r="D26" s="81" t="str">
        <x:v>B10</x:v>
      </x:c>
      <x:c r="E26" s="81" t="str">
        <x:v>完整支持</x:v>
      </x:c>
      <x:c r="F26" s="81" t="str">
        <x:v>oakdecode + Pillow</x:v>
      </x:c>
      <x:c r="G26" s="81" t="str">
        <x:v>HP镜像方向</x:v>
      </x:c>
      <x:c r="H26" s="81" t="str">
        <x:v>单色/彩色编码链</x:v>
      </x:c>
      <x:c r="I26" s="81" t="str">
        <x:v>PCL/PS（若支持）</x:v>
      </x:c>
      <x:c r="J26" s="81" t="str">
        <x:v>网关按流内方向解除水平镜像</x:v>
      </x:c>
    </x:row>
    <x:row r="27" ht="52" customHeight="1">
      <x:c r="A27" s="81" t="str">
        <x:v>Kyocera</x:v>
      </x:c>
      <x:c r="B27" s="81" t="str">
        <x:v>KM-1635/2035</x:v>
      </x:c>
      <x:c r="C27" s="81" t="str">
        <x:v>OAKT</x:v>
      </x:c>
      <x:c r="D27" s="81" t="str">
        <x:v>B10</x:v>
      </x:c>
      <x:c r="E27" s="81" t="str">
        <x:v>完整支持</x:v>
      </x:c>
      <x:c r="F27" s="81" t="str">
        <x:v>oakdecode + Pillow</x:v>
      </x:c>
      <x:c r="G27" s="81" t="str">
        <x:v>Kyocera旋转方向</x:v>
      </x:c>
      <x:c r="H27" s="81" t="str">
        <x:v>完整编码链</x:v>
      </x:c>
      <x:c r="I27" s="81" t="str">
        <x:v>PCL/PS（若支持）</x:v>
      </x:c>
      <x:c r="J27" s="81" t="str">
        <x:v>网关按流内标志逆时针旋转90度</x:v>
      </x:c>
    </x:row>
    <x:row r="28" ht="52" customHeight="1">
      <x:c r="A28" s="81" t="str">
        <x:v>Brother</x:v>
      </x:c>
      <x:c r="B28" s="81" t="str">
        <x:v>HL-1110/1200/1218W</x:v>
      </x:c>
      <x:c r="C28" s="81" t="str">
        <x:v>HBP / XL2HB</x:v>
      </x:c>
      <x:c r="D28" s="81" t="str">
        <x:v>B11</x:v>
      </x:c>
      <x:c r="E28" s="81" t="str">
        <x:v>完整支持</x:v>
      </x:c>
      <x:c r="F28" s="81" t="str">
        <x:v>brdecode + Pillow</x:v>
      </x:c>
      <x:c r="G28" s="81" t="str">
        <x:v>无需Profile</x:v>
      </x:c>
      <x:c r="H28" s="81" t="str">
        <x:v>完整编码链</x:v>
      </x:c>
      <x:c r="I28" s="81" t="str">
        <x:v>无标准驱动时使用HBP</x:v>
      </x:c>
      <x:c r="J28" s="81" t="str">
        <x:v>当前K2B已安装独立brdecode</x:v>
      </x:c>
    </x:row>
    <x:row r="29" ht="52" customHeight="1">
      <x:c r="A29" s="81" t="str">
        <x:v>Brother</x:v>
      </x:c>
      <x:c r="B29" s="81" t="str">
        <x:v>DCP-1510</x:v>
      </x:c>
      <x:c r="C29" s="81" t="str">
        <x:v>HBP / XL2HB</x:v>
      </x:c>
      <x:c r="D29" s="81" t="str">
        <x:v>B11</x:v>
      </x:c>
      <x:c r="E29" s="81" t="str">
        <x:v>完整支持</x:v>
      </x:c>
      <x:c r="F29" s="81" t="str">
        <x:v>brdecode + Pillow</x:v>
      </x:c>
      <x:c r="G29" s="81" t="str">
        <x:v>无需Profile</x:v>
      </x:c>
      <x:c r="H29" s="81" t="str">
        <x:v>完整编码链</x:v>
      </x:c>
      <x:c r="I29" s="81" t="str">
        <x:v>标准PCL/PS（若支持）</x:v>
      </x:c>
      <x:c r="J29" s="81" t="str">
        <x:v>以实际Windows驱动输出为准</x:v>
      </x:c>
    </x:row>
    <x:row r="30" ht="52" customHeight="1">
      <x:c r="A30" s="81" t="str">
        <x:v>Epson</x:v>
      </x:c>
      <x:c r="B30" s="81" t="str">
        <x:v>FX-80 / FX-890</x:v>
      </x:c>
      <x:c r="C30" s="81" t="str">
        <x:v>ESC/P 9针</x:v>
      </x:c>
      <x:c r="D30" s="81" t="str">
        <x:v>B13</x:v>
      </x:c>
      <x:c r="E30" s="81" t="str">
        <x:v>条件支持</x:v>
      </x:c>
      <x:c r="F30" s="81" t="str">
        <x:v>EscaPy 1.1.0</x:v>
      </x:c>
      <x:c r="G30" s="81" t="str">
        <x:v>9针</x:v>
      </x:c>
      <x:c r="H30" s="81" t="str">
        <x:v>完整编码链和页面检查</x:v>
      </x:c>
      <x:c r="I30" s="81" t="str">
        <x:v>Generic/Text（内容简单时）</x:v>
      </x:c>
      <x:c r="J30" s="81" t="str">
        <x:v>仅当前研发板AGPL内部测试</x:v>
      </x:c>
    </x:row>
    <x:row r="31" ht="52" customHeight="1">
      <x:c r="A31" s="81" t="str">
        <x:v>Epson</x:v>
      </x:c>
      <x:c r="B31" s="81" t="str">
        <x:v>LQ系列点阵机</x:v>
      </x:c>
      <x:c r="C31" s="81" t="str">
        <x:v>ESC/P 24针</x:v>
      </x:c>
      <x:c r="D31" s="81" t="str">
        <x:v>B13</x:v>
      </x:c>
      <x:c r="E31" s="81" t="str">
        <x:v>条件支持</x:v>
      </x:c>
      <x:c r="F31" s="81" t="str">
        <x:v>EscaPy 1.1.0</x:v>
      </x:c>
      <x:c r="G31" s="81" t="str">
        <x:v>24针</x:v>
      </x:c>
      <x:c r="H31" s="81" t="str">
        <x:v>完整编码链和页面检查</x:v>
      </x:c>
      <x:c r="I31" s="81" t="str">
        <x:v>Generic/Text（内容简单时）</x:v>
      </x:c>
      <x:c r="J31" s="81" t="str">
        <x:v>终端FF由安全预处理处理</x:v>
      </x:c>
    </x:row>
    <x:row r="32" ht="52" customHeight="1">
      <x:c r="A32" s="81" t="str">
        <x:v>Epson</x:v>
      </x:c>
      <x:c r="B32" s="81" t="str">
        <x:v>XP-440</x:v>
      </x:c>
      <x:c r="C32" s="81" t="str">
        <x:v>Gutenprint ESC/P2</x:v>
      </x:c>
      <x:c r="D32" s="81" t="str">
        <x:v>B14</x:v>
      </x:c>
      <x:c r="E32" s="81" t="str">
        <x:v>条件支持</x:v>
      </x:c>
      <x:c r="F32" s="81" t="str">
        <x:v>EscaPy 1.1.0</x:v>
      </x:c>
      <x:c r="G32" s="81" t="str">
        <x:v>xp410</x:v>
      </x:c>
      <x:c r="H32" s="81" t="str">
        <x:v>完整编码链和页面检查</x:v>
      </x:c>
      <x:c r="I32" s="81" t="str">
        <x:v>ESC/P-R（官方驱动支持时）</x:v>
      </x:c>
      <x:c r="J32" s="81" t="str">
        <x:v>generic会产生颜色通道错位</x:v>
      </x:c>
    </x:row>
    <x:row r="33" ht="52" customHeight="1">
      <x:c r="A33" s="81" t="str">
        <x:v>Epson</x:v>
      </x:c>
      <x:c r="B33" s="81" t="str">
        <x:v>L120 / L310</x:v>
      </x:c>
      <x:c r="C33" s="81" t="str">
        <x:v>Gutenprint ESC/P2</x:v>
      </x:c>
      <x:c r="D33" s="81" t="str">
        <x:v>B14</x:v>
      </x:c>
      <x:c r="E33" s="81" t="str">
        <x:v>条件支持</x:v>
      </x:c>
      <x:c r="F33" s="81" t="str">
        <x:v>EscaPy 1.1.0</x:v>
      </x:c>
      <x:c r="G33" s="81" t="str">
        <x:v>xp410</x:v>
      </x:c>
      <x:c r="H33" s="81" t="str">
        <x:v>360/720dpi完整验证</x:v>
      </x:c>
      <x:c r="I33" s="81" t="str">
        <x:v>ESC/P-R（驱动支持时）</x:v>
      </x:c>
      <x:c r="J33" s="81" t="str">
        <x:v>默认auto仅匹配已验证REMOTE1指纹</x:v>
      </x:c>
    </x:row>
    <x:row r="34" ht="52" customHeight="1">
      <x:c r="A34" s="81" t="str">
        <x:v>Epson</x:v>
      </x:c>
      <x:c r="B34" s="81" t="str">
        <x:v>ET-2750（Gutenprint路径）</x:v>
      </x:c>
      <x:c r="C34" s="81" t="str">
        <x:v>Gutenprint ESC/P2</x:v>
      </x:c>
      <x:c r="D34" s="81" t="str">
        <x:v>B14</x:v>
      </x:c>
      <x:c r="E34" s="81" t="str">
        <x:v>条件支持</x:v>
      </x:c>
      <x:c r="F34" s="81" t="str">
        <x:v>EscaPy 1.1.0</x:v>
      </x:c>
      <x:c r="G34" s="81" t="str">
        <x:v>xp410</x:v>
      </x:c>
      <x:c r="H34" s="81" t="str">
        <x:v>与L120编码流一致</x:v>
      </x:c>
      <x:c r="I34" s="81" t="str">
        <x:v>ESC/P-R官方驱动</x:v>
      </x:c>
      <x:c r="J34" s="81" t="str">
        <x:v>同一型号因驱动不同可落入B14或B15</x:v>
      </x:c>
    </x:row>
    <x:row r="35" ht="52" customHeight="1">
      <x:c r="A35" s="81" t="str">
        <x:v>Epson</x:v>
      </x:c>
      <x:c r="B35" s="81" t="str">
        <x:v>Stylus Photo R800</x:v>
      </x:c>
      <x:c r="C35" s="81" t="str">
        <x:v>Gutenprint ESC/P2</x:v>
      </x:c>
      <x:c r="D35" s="81" t="str">
        <x:v>B14</x:v>
      </x:c>
      <x:c r="E35" s="81" t="str">
        <x:v>条件支持</x:v>
      </x:c>
      <x:c r="F35" s="81" t="str">
        <x:v>EscaPy 1.1.0</x:v>
      </x:c>
      <x:c r="G35" s="81" t="str">
        <x:v>sr800</x:v>
      </x:c>
      <x:c r="H35" s="81" t="str">
        <x:v>A4/Letter及分辨率验证</x:v>
      </x:c>
      <x:c r="I35" s="81" t="str">
        <x:v>无</x:v>
      </x:c>
      <x:c r="J35" s="81" t="str">
        <x:v>不得误选xp410/generic</x:v>
      </x:c>
    </x:row>
    <x:row r="36" ht="52" customHeight="1">
      <x:c r="A36" s="81" t="str">
        <x:v>Epson</x:v>
      </x:c>
      <x:c r="B36" s="81" t="str">
        <x:v>Artisan 630</x:v>
      </x:c>
      <x:c r="C36" s="81" t="str">
        <x:v>官方ESC/P-R</x:v>
      </x:c>
      <x:c r="D36" s="81" t="str">
        <x:v>B15</x:v>
      </x:c>
      <x:c r="E36" s="81" t="str">
        <x:v>完整支持（已验证方言）</x:v>
      </x:c>
      <x:c r="F36" s="81" t="str">
        <x:v>内置ESC/P-R解码器</x:v>
      </x:c>
      <x:c r="G36" s="81" t="str">
        <x:v>无需Profile</x:v>
      </x:c>
      <x:c r="H36" s="81" t="str">
        <x:v>官方PPD完整链</x:v>
      </x:c>
      <x:c r="I36" s="81" t="str">
        <x:v>标准文档格式（若可选）</x:v>
      </x:c>
      <x:c r="J36" s="81" t="str">
        <x:v>仅RGB未压缩/RLE路径</x:v>
      </x:c>
    </x:row>
    <x:row r="37" ht="52" customHeight="1">
      <x:c r="A37" s="81" t="str">
        <x:v>Epson</x:v>
      </x:c>
      <x:c r="B37" s="81" t="str">
        <x:v>Stylus Photo R260</x:v>
      </x:c>
      <x:c r="C37" s="81" t="str">
        <x:v>官方ESC/P-R</x:v>
      </x:c>
      <x:c r="D37" s="81" t="str">
        <x:v>B15</x:v>
      </x:c>
      <x:c r="E37" s="81" t="str">
        <x:v>完整支持（已验证方言）</x:v>
      </x:c>
      <x:c r="F37" s="81" t="str">
        <x:v>内置ESC/P-R解码器</x:v>
      </x:c>
      <x:c r="G37" s="81" t="str">
        <x:v>无需Profile</x:v>
      </x:c>
      <x:c r="H37" s="81" t="str">
        <x:v>官方PPD完整链</x:v>
      </x:c>
      <x:c r="I37" s="81" t="str">
        <x:v>ESC/P2（需匹配Profile）</x:v>
      </x:c>
      <x:c r="J37" s="81" t="str">
        <x:v>当前驱动版本1.7.17</x:v>
      </x:c>
    </x:row>
    <x:row r="38" ht="52" customHeight="1">
      <x:c r="A38" s="81" t="str">
        <x:v>Epson</x:v>
      </x:c>
      <x:c r="B38" s="81" t="str">
        <x:v>ET-2750（官方escpr路径）</x:v>
      </x:c>
      <x:c r="C38" s="81" t="str">
        <x:v>官方ESC/P-R</x:v>
      </x:c>
      <x:c r="D38" s="81" t="str">
        <x:v>B15</x:v>
      </x:c>
      <x:c r="E38" s="81" t="str">
        <x:v>完整支持（已验证方言）</x:v>
      </x:c>
      <x:c r="F38" s="81" t="str">
        <x:v>内置ESC/P-R解码器</x:v>
      </x:c>
      <x:c r="G38" s="81" t="str">
        <x:v>无需Profile</x:v>
      </x:c>
      <x:c r="H38" s="81" t="str">
        <x:v>官方PPD完整链</x:v>
      </x:c>
      <x:c r="I38" s="81" t="str">
        <x:v>Gutenprint ESC/P2</x:v>
      </x:c>
      <x:c r="J38" s="81" t="str">
        <x:v>同一型号驱动选择决定协议</x:v>
      </x:c>
    </x:row>
    <x:row r="39" ht="52" customHeight="1">
      <x:c r="A39" s="81" t="str">
        <x:v>Epson</x:v>
      </x:c>
      <x:c r="B39" s="81" t="str">
        <x:v>WF-6590 / XP-4100 / L3250</x:v>
      </x:c>
      <x:c r="C39" s="81" t="str">
        <x:v>官方ESC/P-R</x:v>
      </x:c>
      <x:c r="D39" s="81" t="str">
        <x:v>B15</x:v>
      </x:c>
      <x:c r="E39" s="81" t="str">
        <x:v>完整支持（已验证方言）</x:v>
      </x:c>
      <x:c r="F39" s="81" t="str">
        <x:v>内置ESC/P-R解码器</x:v>
      </x:c>
      <x:c r="G39" s="81" t="str">
        <x:v>无需Profile</x:v>
      </x:c>
      <x:c r="H39" s="81" t="str">
        <x:v>COLOR/MONO/多页验证</x:v>
      </x:c>
      <x:c r="I39" s="81" t="str">
        <x:v>标准PS/PCL（若型号支持）</x:v>
      </x:c>
      <x:c r="J39" s="81" t="str">
        <x:v>调色板/JPEG扩展仍只保留</x:v>
      </x:c>
    </x:row>
    <x:row r="40" ht="52" customHeight="1">
      <x:c r="A40" s="81" t="str">
        <x:v>HP</x:v>
      </x:c>
      <x:c r="B40" s="81" t="str">
        <x:v>DeskJet 2130/2330</x:v>
      </x:c>
      <x:c r="C40" s="81" t="str">
        <x:v>PCL3GUI / hpcups</x:v>
      </x:c>
      <x:c r="D40" s="81" t="str">
        <x:v>C01</x:v>
      </x:c>
      <x:c r="E40" s="81" t="str">
        <x:v>仅识别</x:v>
      </x:c>
      <x:c r="F40" s="81" t="str">
        <x:v>保留PRN</x:v>
      </x:c>
      <x:c r="G40" s="81" t="str">
        <x:v>不适用</x:v>
      </x:c>
      <x:c r="H40" s="81" t="str">
        <x:v>GhostPCL否定性验证</x:v>
      </x:c>
      <x:c r="I40" s="81" t="str">
        <x:v>无可证明的标准替代时采集PRN</x:v>
      </x:c>
      <x:c r="J40" s="81" t="str">
        <x:v>禁止把可打开但破损的PDF当成功</x:v>
      </x:c>
    </x:row>
    <x:row r="41" ht="52" customHeight="1">
      <x:c r="A41" s="81" t="str">
        <x:v>Canon</x:v>
      </x:c>
      <x:c r="B41" s="81" t="str">
        <x:v>MF3010 / LBP212dw / imageRUNNER部分型号</x:v>
      </x:c>
      <x:c r="C41" s="81" t="str">
        <x:v>UFR II / UFR II LT</x:v>
      </x:c>
      <x:c r="D41" s="81" t="str">
        <x:v>C02</x:v>
      </x:c>
      <x:c r="E41" s="81" t="str">
        <x:v>仅识别</x:v>
      </x:c>
      <x:c r="F41" s="81" t="str">
        <x:v>保留PRN</x:v>
      </x:c>
      <x:c r="G41" s="81" t="str">
        <x:v>不适用</x:v>
      </x:c>
      <x:c r="H41" s="81" t="str">
        <x:v>明确语言标记识别</x:v>
      </x:c>
      <x:c r="I41" s="81" t="str">
        <x:v>PCL6或PostScript</x:v>
      </x:c>
      <x:c r="J41" s="81" t="str">
        <x:v>现场优先改用标准驱动</x:v>
      </x:c>
    </x:row>
    <x:row r="42" ht="52" customHeight="1">
      <x:c r="A42" s="81" t="str">
        <x:v>Canon</x:v>
      </x:c>
      <x:c r="B42" s="81" t="str">
        <x:v>LBP2900/3000</x:v>
      </x:c>
      <x:c r="C42" s="81" t="str">
        <x:v>CAPT</x:v>
      </x:c>
      <x:c r="D42" s="81" t="str">
        <x:v>C03</x:v>
      </x:c>
      <x:c r="E42" s="81" t="str">
        <x:v>仅识别</x:v>
      </x:c>
      <x:c r="F42" s="81" t="str">
        <x:v>保留PRN</x:v>
      </x:c>
      <x:c r="G42" s="81" t="str">
        <x:v>不适用</x:v>
      </x:c>
      <x:c r="H42" s="81" t="str">
        <x:v>明确CAPT标记识别</x:v>
      </x:c>
      <x:c r="I42" s="81" t="str">
        <x:v>通常无标准替代</x:v>
      </x:c>
      <x:c r="J42" s="81" t="str">
        <x:v>必须保留真实PRN供后续分析</x:v>
      </x:c>
    </x:row>
    <x:row r="43" ht="52" customHeight="1">
      <x:c r="A43" s="81" t="str">
        <x:v>Pantum</x:v>
      </x:c>
      <x:c r="B43" s="81" t="str">
        <x:v>P2200/P2500/M6500</x:v>
      </x:c>
      <x:c r="C43" s="81" t="str">
        <x:v>Pantum GDI</x:v>
      </x:c>
      <x:c r="D43" s="81" t="str">
        <x:v>C04</x:v>
      </x:c>
      <x:c r="E43" s="81" t="str">
        <x:v>仅识别</x:v>
      </x:c>
      <x:c r="F43" s="81" t="str">
        <x:v>保留PRN</x:v>
      </x:c>
      <x:c r="G43" s="81" t="str">
        <x:v>不适用</x:v>
      </x:c>
      <x:c r="H43" s="81" t="str">
        <x:v>Pantum+GDI联合标记</x:v>
      </x:c>
      <x:c r="I43" s="81" t="str">
        <x:v>PCL（型号支持时）</x:v>
      </x:c>
      <x:c r="J43" s="81" t="str">
        <x:v>优先收集官方Windows输出</x:v>
      </x:c>
    </x:row>
    <x:row r="44" ht="52" customHeight="1">
      <x:c r="A44" s="81" t="str">
        <x:v>Sharp</x:v>
      </x:c>
      <x:c r="B44" s="81" t="str">
        <x:v>部分低端SPLC机型</x:v>
      </x:c>
      <x:c r="C44" s="81" t="str">
        <x:v>Sharp SPLC</x:v>
      </x:c>
      <x:c r="D44" s="81" t="str">
        <x:v>C05</x:v>
      </x:c>
      <x:c r="E44" s="81" t="str">
        <x:v>仅识别</x:v>
      </x:c>
      <x:c r="F44" s="81" t="str">
        <x:v>保留PRN</x:v>
      </x:c>
      <x:c r="G44" s="81" t="str">
        <x:v>不适用</x:v>
      </x:c>
      <x:c r="H44" s="81" t="str">
        <x:v>厂商上下文联合识别</x:v>
      </x:c>
      <x:c r="I44" s="81" t="str">
        <x:v>PCL/PS（型号支持时）</x:v>
      </x:c>
      <x:c r="J44" s="81" t="str">
        <x:v>型号必须现场确认，单独SPLC不足以判定</x:v>
      </x:c>
    </x:row>
    <x:row r="45" ht="52" customHeight="1">
      <x:c r="A45" s="81" t="str">
        <x:v>Ricoh</x:v>
      </x:c>
      <x:c r="B45" s="81" t="str">
        <x:v>部分Aficio/SP系列</x:v>
      </x:c>
      <x:c r="C45" s="81" t="str">
        <x:v>RPCS</x:v>
      </x:c>
      <x:c r="D45" s="81" t="str">
        <x:v>C06</x:v>
      </x:c>
      <x:c r="E45" s="81" t="str">
        <x:v>仅识别</x:v>
      </x:c>
      <x:c r="F45" s="81" t="str">
        <x:v>保留PRN</x:v>
      </x:c>
      <x:c r="G45" s="81" t="str">
        <x:v>不适用</x:v>
      </x:c>
      <x:c r="H45" s="81" t="str">
        <x:v>明确RPCS/PJL标记</x:v>
      </x:c>
      <x:c r="I45" s="81" t="str">
        <x:v>PCL/PS</x:v>
      </x:c>
      <x:c r="J45" s="81" t="str">
        <x:v>强烈建议选择标准驱动</x:v>
      </x:c>
    </x:row>
    <x:row r="46" ht="52" customHeight="1">
      <x:c r="A46" s="81" t="str">
        <x:v>Lexmark / Dell</x:v>
      </x:c>
      <x:c r="B46" s="81" t="str">
        <x:v>Lexmark X500 / Dell 1125MFP</x:v>
      </x:c>
      <x:c r="C46" s="81" t="str">
        <x:v>Granite GIPD</x:v>
      </x:c>
      <x:c r="D46" s="81" t="str">
        <x:v>C07</x:v>
      </x:c>
      <x:c r="E46" s="81" t="str">
        <x:v>仅识别</x:v>
      </x:c>
      <x:c r="F46" s="81" t="str">
        <x:v>保留PRN + 结构诊断</x:v>
      </x:c>
      <x:c r="G46" s="81" t="str">
        <x:v>不适用</x:v>
      </x:c>
      <x:c r="H46" s="81" t="str">
        <x:v>源码确认现有工具不导出页面</x:v>
      </x:c>
      <x:c r="I46" s="81" t="str">
        <x:v>PCL/PS（若支持）</x:v>
      </x:c>
      <x:c r="J46" s="81" t="str">
        <x:v>gipddecode成功退出不等于可转换</x:v>
      </x:c>
    </x:row>
    <x:row r="47" ht="52" customHeight="1">
      <x:c r="A47" s="81" t="str">
        <x:v>IBM</x:v>
      </x:c>
      <x:c r="B47" s="81" t="str">
        <x:v>InfoPrint / 大型机AFP任务</x:v>
      </x:c>
      <x:c r="C47" s="81" t="str">
        <x:v>AFP</x:v>
      </x:c>
      <x:c r="D47" s="81" t="str">
        <x:v>C08</x:v>
      </x:c>
      <x:c r="E47" s="81" t="str">
        <x:v>仅识别</x:v>
      </x:c>
      <x:c r="F47" s="81" t="str">
        <x:v>保留PRN</x:v>
      </x:c>
      <x:c r="G47" s="81" t="str">
        <x:v>不适用</x:v>
      </x:c>
      <x:c r="H47" s="81" t="str">
        <x:v>连续结构化字段</x:v>
      </x:c>
      <x:c r="I47" s="81" t="str">
        <x:v>PDF/PS中转</x:v>
      </x:c>
      <x:c r="J47" s="81" t="str">
        <x:v>需要真实AFP任务继续扩展</x:v>
      </x:c>
    </x:row>
    <x:row r="48" ht="52" customHeight="1">
      <x:c r="A48" s="81" t="str">
        <x:v>Epson</x:v>
      </x:c>
      <x:c r="B48" s="81" t="str">
        <x:v>部分AcuLaser</x:v>
      </x:c>
      <x:c r="C48" s="81" t="str">
        <x:v>ESC/Page</x:v>
      </x:c>
      <x:c r="D48" s="81" t="str">
        <x:v>C09</x:v>
      </x:c>
      <x:c r="E48" s="81" t="str">
        <x:v>仅识别</x:v>
      </x:c>
      <x:c r="F48" s="81" t="str">
        <x:v>保留PRN</x:v>
      </x:c>
      <x:c r="G48" s="81" t="str">
        <x:v>不适用</x:v>
      </x:c>
      <x:c r="H48" s="81" t="str">
        <x:v>ESC/Page标记</x:v>
      </x:c>
      <x:c r="I48" s="81" t="str">
        <x:v>PCL/PS（若支持）</x:v>
      </x:c>
      <x:c r="J48" s="81" t="str">
        <x:v>EscaPy不支持ESC/Page</x:v>
      </x:c>
    </x:row>
    <x:row r="49" ht="52" customHeight="1">
      <x:c r="A49" s="81" t="str">
        <x:v>Zebra</x:v>
      </x:c>
      <x:c r="B49" s="81" t="str">
        <x:v>GK/ZD系列及兼容标签机</x:v>
      </x:c>
      <x:c r="C49" s="81" t="str">
        <x:v>ZPL/EPL/CPCL</x:v>
      </x:c>
      <x:c r="D49" s="81" t="str">
        <x:v>C10</x:v>
      </x:c>
      <x:c r="E49" s="81" t="str">
        <x:v>仅识别</x:v>
      </x:c>
      <x:c r="F49" s="81" t="str">
        <x:v>保留PRN</x:v>
      </x:c>
      <x:c r="G49" s="81" t="str">
        <x:v>不适用</x:v>
      </x:c>
      <x:c r="H49" s="81" t="str">
        <x:v>作业头+命令组合</x:v>
      </x:c>
      <x:c r="I49" s="81" t="str">
        <x:v>PDF图像中转（业务允许时）</x:v>
      </x:c>
      <x:c r="J49" s="81" t="str">
        <x:v>当前产品主要处理A4报告，不做标签渲染</x:v>
      </x:c>
    </x:row>
    <x:row r="50" ht="52" customHeight="1">
      <x:c r="A50" s="83" t="str">
        <x:v>Printrex</x:v>
      </x:c>
      <x:c r="B50" s="83" t="str">
        <x:v>医疗热敏打印机</x:v>
      </x:c>
      <x:c r="C50" s="83" t="str">
        <x:v>Printrex私有流</x:v>
      </x:c>
      <x:c r="D50" s="83" t="str">
        <x:v>C11</x:v>
      </x:c>
      <x:c r="E50" s="83" t="str">
        <x:v>仅识别</x:v>
      </x:c>
      <x:c r="F50" s="83" t="str">
        <x:v>保留PRN</x:v>
      </x:c>
      <x:c r="G50" s="83" t="str">
        <x:v>不适用</x:v>
      </x:c>
      <x:c r="H50" s="83" t="str">
        <x:v>明确厂商标记</x:v>
      </x:c>
      <x:c r="I50" s="83" t="str">
        <x:v>PDF/图像中转（系统允许时）</x:v>
      </x:c>
      <x:c r="J50" s="83" t="str">
        <x:v>缺真实样本和协议资料</x:v>
      </x:c>
    </x:row>
  </x:sheetData>
  <x:mergeCells>
    <x:mergeCell ref="A1:J1"/>
    <x:mergeCell ref="A2:J2"/>
  </x:mergeCells>
  <x:conditionalFormatting sqref="E6:E50">
    <x:cfRule type="containsText" dxfId="8" priority="1" operator="containsText" text="完整支持"/>
    <x:cfRule type="containsText" dxfId="9" priority="2" operator="containsText" text="条件支持"/>
    <x:cfRule type="containsText" dxfId="10" priority="3" operator="containsText" text="仅识别"/>
    <x:cfRule type="containsText" dxfId="11" priority="4" operator="containsText" text="历史迁移"/>
  </x:conditionalFormatting>
  <x:pageMargins left="0.7" right="0.7" top="0.75" bottom="0.75" header="0.3" footer="0.3"/>
  <x:tableParts count="1">
    <x:tablePart xmlns:r="http://schemas.openxmlformats.org/officeDocument/2006/relationships" r:id="Rb080d15e37094f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35" hidden="0" customWidth="1"/>
    <x:col min="4" max="4" width="15" hidden="0" customWidth="1"/>
    <x:col min="5" max="5" width="70" hidden="0" customWidth="1"/>
    <x:col min="6" max="6" width="12" hidden="0" customWidth="1"/>
    <x:col min="7" max="7" width="16" hidden="0" customWidth="1"/>
    <x:col min="8" max="8" width="36" hidden="0" customWidth="1"/>
    <x:col min="9" max="9" width="12" hidden="0" customWidth="1"/>
    <x:col min="10" max="10" width="30" hidden="0" customWidth="1"/>
  </x:cols>
  <x:sheetData>
    <x:row r="1" ht="34" customHeight="1">
      <x:c r="A1" s="74" t="str">
        <x:v>编码链、实板与页面检查证据</x:v>
      </x:c>
      <x:c r="B1" s="74" t="str">
        <x:v>编码链、实板与页面检查证据</x:v>
      </x:c>
      <x:c r="C1" s="74" t="str">
        <x:v>编码链、实板与页面检查证据</x:v>
      </x:c>
      <x:c r="D1" s="74" t="str">
        <x:v>编码链、实板与页面检查证据</x:v>
      </x:c>
      <x:c r="E1" s="74" t="str">
        <x:v>编码链、实板与页面检查证据</x:v>
      </x:c>
      <x:c r="F1" s="74" t="str">
        <x:v>编码链、实板与页面检查证据</x:v>
      </x:c>
      <x:c r="G1" s="74" t="str">
        <x:v>编码链、实板与页面检查证据</x:v>
      </x:c>
      <x:c r="H1" s="74" t="str">
        <x:v>编码链、实板与页面检查证据</x:v>
      </x:c>
      <x:c r="I1" s="74" t="str">
        <x:v>编码链、实板与页面检查证据</x:v>
      </x:c>
      <x:c r="J1" s="74" t="str">
        <x:v>编码链、实板与页面检查证据</x:v>
      </x:c>
    </x:row>
    <x:row r="2" ht="30" customHeight="1">
      <x:c r="A2" s="75" t="str">
        <x:v>“通过”必须包含页面内容检查；转换命令返回0、PDF可打开或页数正确都不能单独证明兼容。</x:v>
      </x:c>
      <x:c r="B2" s="75" t="str">
        <x:v>“通过”必须包含页面内容检查；转换命令返回0、PDF可打开或页数正确都不能单独证明兼容。</x:v>
      </x:c>
      <x:c r="C2" s="75" t="str">
        <x:v>“通过”必须包含页面内容检查；转换命令返回0、PDF可打开或页数正确都不能单独证明兼容。</x:v>
      </x:c>
      <x:c r="D2" s="75" t="str">
        <x:v>“通过”必须包含页面内容检查；转换命令返回0、PDF可打开或页数正确都不能单独证明兼容。</x:v>
      </x:c>
      <x:c r="E2" s="75" t="str">
        <x:v>“通过”必须包含页面内容检查；转换命令返回0、PDF可打开或页数正确都不能单独证明兼容。</x:v>
      </x:c>
      <x:c r="F2" s="75" t="str">
        <x:v>“通过”必须包含页面内容检查；转换命令返回0、PDF可打开或页数正确都不能单独证明兼容。</x:v>
      </x:c>
      <x:c r="G2" s="75" t="str">
        <x:v>“通过”必须包含页面内容检查；转换命令返回0、PDF可打开或页数正确都不能单独证明兼容。</x:v>
      </x:c>
      <x:c r="H2" s="75" t="str">
        <x:v>“通过”必须包含页面内容检查；转换命令返回0、PDF可打开或页数正确都不能单独证明兼容。</x:v>
      </x:c>
      <x:c r="I2" s="75" t="str">
        <x:v>“通过”必须包含页面内容检查；转换命令返回0、PDF可打开或页数正确都不能单独证明兼容。</x:v>
      </x:c>
      <x:c r="J2" s="75" t="str">
        <x:v>“通过”必须包含页面内容检查；转换命令返回0、PDF可打开或页数正确都不能单独证明兼容。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</x:row>
    <x:row r="5" ht="34" customHeight="1">
      <x:c r="A5" s="77" t="str">
        <x:v>编号</x:v>
      </x:c>
      <x:c r="B5" s="77" t="str">
        <x:v>测试对象</x:v>
      </x:c>
      <x:c r="C5" s="77" t="str">
        <x:v>编码链/来源</x:v>
      </x:c>
      <x:c r="D5" s="77" t="str">
        <x:v>输入字节</x:v>
      </x:c>
      <x:c r="E5" s="77" t="str">
        <x:v>输入SHA-256</x:v>
      </x:c>
      <x:c r="F5" s="77" t="str">
        <x:v>PDF页数</x:v>
      </x:c>
      <x:c r="G5" s="77" t="str">
        <x:v>K2B转换秒</x:v>
      </x:c>
      <x:c r="H5" s="77" t="str">
        <x:v>页面/视觉检查</x:v>
      </x:c>
      <x:c r="I5" s="77" t="str">
        <x:v>结论</x:v>
      </x:c>
      <x:c r="J5" s="77" t="str">
        <x:v>备注</x:v>
      </x:c>
    </x:row>
    <x:row r="6" ht="48" customHeight="1">
      <x:c r="A6" s="79" t="str">
        <x:v>A07</x:v>
      </x:c>
      <x:c r="B6" s="79" t="str">
        <x:v>PWG Raster</x:v>
      </x:c>
      <x:c r="C6" s="79" t="str">
        <x:v>CUPS/IPP编码链</x:v>
      </x:c>
      <x:c r="D6" s="114" t="n">
        <x:v>24136</x:v>
      </x:c>
      <x:c r="E6" s="79" t="str">
        <x:v>0ba78da244d23aebc6f175b52ecd2a87a77a42db9b589c1795d865f023260088</x:v>
      </x:c>
      <x:c r="F6" s="115" t="n">
        <x:v>1</x:v>
      </x:c>
      <x:c r="G6" s="116"/>
      <x:c r="H6" s="79" t="str">
        <x:v>612×792；263,991个非白像素</x:v>
      </x:c>
      <x:c r="I6" s="79" t="str">
        <x:v>通过</x:v>
      </x:c>
      <x:c r="J6" s="79" t="str">
        <x:v>K2B现代打印流闭环</x:v>
      </x:c>
    </x:row>
    <x:row r="7" ht="48" customHeight="1">
      <x:c r="A7" s="81" t="str">
        <x:v>A08</x:v>
      </x:c>
      <x:c r="B7" s="81" t="str">
        <x:v>CUPS Raster v3</x:v>
      </x:c>
      <x:c r="C7" s="81" t="str">
        <x:v>CUPS编码链</x:v>
      </x:c>
      <x:c r="D7" s="117" t="n">
        <x:v>86401800</x:v>
      </x:c>
      <x:c r="E7" s="81" t="str">
        <x:v>2b5df8101e9e7eed51f5e8519b2fbc98bacba37ca1aec300a38d2c0afc8c2f84</x:v>
      </x:c>
      <x:c r="F7" s="118" t="n">
        <x:v>1</x:v>
      </x:c>
      <x:c r="G7" s="119"/>
      <x:c r="H7" s="81" t="str">
        <x:v>576×720；226,010个非白像素</x:v>
      </x:c>
      <x:c r="I7" s="81" t="str">
        <x:v>通过</x:v>
      </x:c>
      <x:c r="J7" s="81" t="str">
        <x:v>异常大输入资源路径已验证</x:v>
      </x:c>
    </x:row>
    <x:row r="8" ht="48" customHeight="1">
      <x:c r="A8" s="81" t="str">
        <x:v>A09</x:v>
      </x:c>
      <x:c r="B8" s="81" t="str">
        <x:v>PCLm</x:v>
      </x:c>
      <x:c r="C8" s="81" t="str">
        <x:v>PDF-based PCLm</x:v>
      </x:c>
      <x:c r="D8" s="117" t="n">
        <x:v>271178</x:v>
      </x:c>
      <x:c r="E8" s="81" t="str">
        <x:v>de32c0d841702cedf8815bce1cecc20319cc39a9f1232466f8ffb6474e4de499</x:v>
      </x:c>
      <x:c r="F8" s="118" t="n">
        <x:v>1</x:v>
      </x:c>
      <x:c r="G8" s="119"/>
      <x:c r="H8" s="81" t="str">
        <x:v>输入与输出SHA-256一致</x:v>
      </x:c>
      <x:c r="I8" s="81" t="str">
        <x:v>通过</x:v>
      </x:c>
      <x:c r="J8" s="81" t="str">
        <x:v>无损保留</x:v>
      </x:c>
    </x:row>
    <x:row r="9" ht="48" customHeight="1">
      <x:c r="A9" s="81" t="str">
        <x:v>A10</x:v>
      </x:c>
      <x:c r="B9" s="81" t="str">
        <x:v>Apple URF</x:v>
      </x:c>
      <x:c r="C9" s="81" t="str">
        <x:v>AirPrint/URF编码链</x:v>
      </x:c>
      <x:c r="D9" s="117" t="n">
        <x:v>22380</x:v>
      </x:c>
      <x:c r="E9" s="81" t="str">
        <x:v>e29cd02491dfb042b0f27121c9dc9edc234593e7afb1f999c77dfe356717a21a</x:v>
      </x:c>
      <x:c r="F9" s="118" t="n">
        <x:v>1</x:v>
      </x:c>
      <x:c r="G9" s="119"/>
      <x:c r="H9" s="81" t="str">
        <x:v>612×792；263,991个非白像素</x:v>
      </x:c>
      <x:c r="I9" s="81" t="str">
        <x:v>通过</x:v>
      </x:c>
      <x:c r="J9" s="81" t="str">
        <x:v>K2B现代打印流闭环</x:v>
      </x:c>
    </x:row>
    <x:row r="10" ht="48" customHeight="1">
      <x:c r="A10" s="81" t="str">
        <x:v>B02</x:v>
      </x:c>
      <x:c r="B10" s="81" t="str">
        <x:v>QPDL/SPL-C</x:v>
      </x:c>
      <x:c r="C10" s="81" t="str">
        <x:v>foo2qpdl / Samsung CLP-300</x:v>
      </x:c>
      <x:c r="D10" s="117" t="n">
        <x:v>224144</x:v>
      </x:c>
      <x:c r="E10" s="81" t="str">
        <x:v>1105a300a95ba554b765d475f5c1bbe39970f02595e09785b2b189b905eb829f</x:v>
      </x:c>
      <x:c r="F10" s="118" t="n">
        <x:v>1</x:v>
      </x:c>
      <x:c r="G10" s="119"/>
      <x:c r="H10" s="81" t="str">
        <x:v>600×600、1200×600、1200×1200</x:v>
      </x:c>
      <x:c r="I10" s="81" t="str">
        <x:v>通过</x:v>
      </x:c>
      <x:c r="J10" s="81" t="str">
        <x:v>非空页面和比例检查</x:v>
      </x:c>
    </x:row>
    <x:row r="11" ht="48" customHeight="1">
      <x:c r="A11" s="81" t="str">
        <x:v>B03</x:v>
      </x:c>
      <x:c r="B11" s="81" t="str">
        <x:v>HP XQX</x:v>
      </x:c>
      <x:c r="C11" s="81" t="str">
        <x:v>foo2xqx / HP P1005</x:v>
      </x:c>
      <x:c r="D11" s="117" t="n">
        <x:v>67798</x:v>
      </x:c>
      <x:c r="E11" s="81" t="str">
        <x:v>61367aa9b7051826826726dbfc2c1d4a621ff3689e55b06beda9cccaf19c2fe1</x:v>
      </x:c>
      <x:c r="F11" s="118" t="n">
        <x:v>1</x:v>
      </x:c>
      <x:c r="G11" s="119"/>
      <x:c r="H11" s="81" t="str">
        <x:v>600×600、1200×600</x:v>
      </x:c>
      <x:c r="I11" s="81" t="str">
        <x:v>通过</x:v>
      </x:c>
      <x:c r="J11" s="81" t="str">
        <x:v>分辨率解析验证</x:v>
      </x:c>
    </x:row>
    <x:row r="12" ht="48" customHeight="1">
      <x:c r="A12" s="81" t="str">
        <x:v>B04</x:v>
      </x:c>
      <x:c r="B12" s="81" t="str">
        <x:v>OKI HIPERC</x:v>
      </x:c>
      <x:c r="C12" s="81" t="str">
        <x:v>foo2hiperc / OKI C3200</x:v>
      </x:c>
      <x:c r="D12" s="117" t="n">
        <x:v>3994854</x:v>
      </x:c>
      <x:c r="E12" s="81" t="str">
        <x:v>011ad092e7824562a144258907120ad70d94e4d60ff2622127d8e1a33ecd1ade</x:v>
      </x:c>
      <x:c r="F12" s="118" t="n">
        <x:v>1</x:v>
      </x:c>
      <x:c r="G12" s="119"/>
      <x:c r="H12" s="81" t="str">
        <x:v>300×300、600×600、600×1200</x:v>
      </x:c>
      <x:c r="I12" s="81" t="str">
        <x:v>通过</x:v>
      </x:c>
      <x:c r="J12" s="81" t="str">
        <x:v>多分辨率路径</x:v>
      </x:c>
    </x:row>
    <x:row r="13" ht="48" customHeight="1">
      <x:c r="A13" s="81" t="str">
        <x:v>B06</x:v>
      </x:c>
      <x:c r="B13" s="81" t="str">
        <x:v>Ricoh DDST</x:v>
      </x:c>
      <x:c r="C13" s="81" t="str">
        <x:v>foo2ddst / Ricoh SP112</x:v>
      </x:c>
      <x:c r="D13" s="117" t="n">
        <x:v>78272</x:v>
      </x:c>
      <x:c r="E13" s="81" t="str">
        <x:v>09a4484c44ca93ddbf3fe20106df2b221aba1f2ae84cffe77b7c3856ddf0462c</x:v>
      </x:c>
      <x:c r="F13" s="118" t="n">
        <x:v>1</x:v>
      </x:c>
      <x:c r="G13" s="119"/>
      <x:c r="H13" s="81" t="str">
        <x:v>单色A4 600×600</x:v>
      </x:c>
      <x:c r="I13" s="81" t="str">
        <x:v>通过</x:v>
      </x:c>
      <x:c r="J13" s="81" t="str">
        <x:v>独立ddstdecode</x:v>
      </x:c>
    </x:row>
    <x:row r="14" ht="48" customHeight="1">
      <x:c r="A14" s="81" t="str">
        <x:v>B05</x:v>
      </x:c>
      <x:c r="B14" s="81" t="str">
        <x:v>HBPL2单色</x:v>
      </x:c>
      <x:c r="C14" s="81" t="str">
        <x:v>foo2hbpl2 / Dell 1355</x:v>
      </x:c>
      <x:c r="D14" s="117" t="n">
        <x:v>135598</x:v>
      </x:c>
      <x:c r="E14" s="81" t="str">
        <x:v>1fd23e4cdaeabf4bce0b46aa297af61e49d73072599bc163840b78db53e96bec</x:v>
      </x:c>
      <x:c r="F14" s="118" t="n">
        <x:v>1</x:v>
      </x:c>
      <x:c r="G14" s="119"/>
      <x:c r="H14" s="81" t="str">
        <x:v>2-bit横向打包；1200×600</x:v>
      </x:c>
      <x:c r="I14" s="81" t="str">
        <x:v>通过</x:v>
      </x:c>
      <x:c r="J14" s="81" t="str">
        <x:v>独立hbpldecode</x:v>
      </x:c>
    </x:row>
    <x:row r="15" ht="48" customHeight="1">
      <x:c r="A15" s="81" t="str">
        <x:v>B05</x:v>
      </x:c>
      <x:c r="B15" s="81" t="str">
        <x:v>HBPL2彩色</x:v>
      </x:c>
      <x:c r="C15" s="81" t="str">
        <x:v>foo2hbpl2 / Dell 1355</x:v>
      </x:c>
      <x:c r="D15" s="117" t="n">
        <x:v>355273</x:v>
      </x:c>
      <x:c r="E15" s="81" t="str">
        <x:v>78e516bd248a2937b843c1918235ef3584b61fc4076acd1401d3ea558466f076</x:v>
      </x:c>
      <x:c r="F15" s="118" t="n">
        <x:v>1</x:v>
      </x:c>
      <x:c r="G15" s="119"/>
      <x:c r="H15" s="81" t="str">
        <x:v>四平面颜色、方向和比例正确</x:v>
      </x:c>
      <x:c r="I15" s="81" t="str">
        <x:v>通过</x:v>
      </x:c>
      <x:c r="J15" s="81" t="str">
        <x:v>彩色验证</x:v>
      </x:c>
    </x:row>
    <x:row r="16" ht="48" customHeight="1">
      <x:c r="A16" s="81" t="str">
        <x:v>B07</x:v>
      </x:c>
      <x:c r="B16" s="81" t="str">
        <x:v>LAVAFLOW单色</x:v>
      </x:c>
      <x:c r="C16" s="81" t="str">
        <x:v>foo2lava / KM 1600W</x:v>
      </x:c>
      <x:c r="D16" s="117" t="n">
        <x:v>135525</x:v>
      </x:c>
      <x:c r="E16" s="81" t="str">
        <x:v>7ec65041ba32db6872cd27a90beb3b43faa8178c990b1b317063e8e8614c43d0</x:v>
      </x:c>
      <x:c r="F16" s="118" t="n">
        <x:v>1</x:v>
      </x:c>
      <x:c r="G16" s="119"/>
      <x:c r="H16" s="81" t="str">
        <x:v>二进制页头解析1200×600</x:v>
      </x:c>
      <x:c r="I16" s="81" t="str">
        <x:v>通过</x:v>
      </x:c>
      <x:c r="J16" s="81" t="str">
        <x:v>单色验证</x:v>
      </x:c>
    </x:row>
    <x:row r="17" ht="48" customHeight="1">
      <x:c r="A17" s="81" t="str">
        <x:v>B07</x:v>
      </x:c>
      <x:c r="B17" s="81" t="str">
        <x:v>LAVAFLOW彩色</x:v>
      </x:c>
      <x:c r="C17" s="81" t="str">
        <x:v>foo2lava / KM 1600W</x:v>
      </x:c>
      <x:c r="D17" s="117" t="n">
        <x:v>355347</x:v>
      </x:c>
      <x:c r="E17" s="81" t="str">
        <x:v>86b4ac870ccd749d8db46f5c971e279d757e109401ae8527810736c0bc0d8a22</x:v>
      </x:c>
      <x:c r="F17" s="118" t="n">
        <x:v>1</x:v>
      </x:c>
      <x:c r="G17" s="119"/>
      <x:c r="H17" s="81" t="str">
        <x:v>C/M/Y/K颜色和方向正确</x:v>
      </x:c>
      <x:c r="I17" s="81" t="str">
        <x:v>通过</x:v>
      </x:c>
      <x:c r="J17" s="81" t="str">
        <x:v>未使用专有ICM</x:v>
      </x:c>
    </x:row>
    <x:row r="18" ht="48" customHeight="1">
      <x:c r="A18" s="81" t="str">
        <x:v>B08</x:v>
      </x:c>
      <x:c r="B18" s="81" t="str">
        <x:v>Raster Object / OPL单色</x:v>
      </x:c>
      <x:c r="C18" s="81" t="str">
        <x:v>foo2lava -z1 / KM 2480MF</x:v>
      </x:c>
      <x:c r="D18" s="117" t="n">
        <x:v>135604</x:v>
      </x:c>
      <x:c r="E18" s="81" t="str">
        <x:v>273e98e175281be2c53357d3b376e485d4d5c0efbe4570f23a36eec07cee443e</x:v>
      </x:c>
      <x:c r="F18" s="118" t="n">
        <x:v>1</x:v>
      </x:c>
      <x:c r="G18" s="119"/>
      <x:c r="H18" s="81" t="str">
        <x:v>文本页头解析1200×600</x:v>
      </x:c>
      <x:c r="I18" s="81" t="str">
        <x:v>通过</x:v>
      </x:c>
      <x:c r="J18" s="81" t="str">
        <x:v>修正版opldecode</x:v>
      </x:c>
    </x:row>
    <x:row r="19" ht="48" customHeight="1">
      <x:c r="A19" s="81" t="str">
        <x:v>B08</x:v>
      </x:c>
      <x:c r="B19" s="81" t="str">
        <x:v>OPL彩色</x:v>
      </x:c>
      <x:c r="C19" s="81" t="str">
        <x:v>foo2lava -z1 / KM 2480MF</x:v>
      </x:c>
      <x:c r="D19" s="117" t="n">
        <x:v>355810</x:v>
      </x:c>
      <x:c r="E19" s="81" t="str">
        <x:v>a12af49f53f31416cf979d50ef022d7d10b10f8c08d9f8203f01dd0bad97ca75</x:v>
      </x:c>
      <x:c r="F19" s="118" t="n">
        <x:v>1</x:v>
      </x:c>
      <x:c r="G19" s="119"/>
      <x:c r="H19" s="81" t="str">
        <x:v>四平面颜色正确</x:v>
      </x:c>
      <x:c r="I19" s="81" t="str">
        <x:v>通过</x:v>
      </x:c>
      <x:c r="J19" s="81" t="str">
        <x:v>不再段错误</x:v>
      </x:c>
    </x:row>
    <x:row r="20" ht="48" customHeight="1">
      <x:c r="A20" s="81" t="str">
        <x:v>B09</x:v>
      </x:c>
      <x:c r="B20" s="81" t="str">
        <x:v>Lexmark SLX单色</x:v>
      </x:c>
      <x:c r="C20" s="81" t="str">
        <x:v>foo2slx / Lexmark C500</x:v>
      </x:c>
      <x:c r="D20" s="117" t="n">
        <x:v>127508</x:v>
      </x:c>
      <x:c r="E20" s="81" t="str">
        <x:v>85f923f0dd699c40374de12ee0ff4bb61662ab748fd2d33b4d2baaa79f984ddc</x:v>
      </x:c>
      <x:c r="F20" s="118" t="n">
        <x:v>1</x:v>
      </x:c>
      <x:c r="G20" s="119"/>
      <x:c r="H20" s="81" t="str">
        <x:v>页面项解析1200×600</x:v>
      </x:c>
      <x:c r="I20" s="81" t="str">
        <x:v>通过</x:v>
      </x:c>
      <x:c r="J20" s="81" t="str">
        <x:v>独立slxdecode</x:v>
      </x:c>
    </x:row>
    <x:row r="21" ht="48" customHeight="1">
      <x:c r="A21" s="81" t="str">
        <x:v>B09</x:v>
      </x:c>
      <x:c r="B21" s="81" t="str">
        <x:v>Lexmark SLX彩色</x:v>
      </x:c>
      <x:c r="C21" s="81" t="str">
        <x:v>foo2slx / Lexmark C500</x:v>
      </x:c>
      <x:c r="D21" s="117" t="n">
        <x:v>102444</x:v>
      </x:c>
      <x:c r="E21" s="81" t="str">
        <x:v>6e2f20f8c71830fe228199beeec3f093a36578938c70b59bb38bebf33de430d2</x:v>
      </x:c>
      <x:c r="F21" s="118" t="n">
        <x:v>1</x:v>
      </x:c>
      <x:c r="G21" s="119"/>
      <x:c r="H21" s="81" t="str">
        <x:v>四平面、黄色及RGB组合正确</x:v>
      </x:c>
      <x:c r="I21" s="81" t="str">
        <x:v>通过</x:v>
      </x:c>
      <x:c r="J21" s="81" t="str">
        <x:v>彩色验证</x:v>
      </x:c>
    </x:row>
    <x:row r="22" ht="48" customHeight="1">
      <x:c r="A22" s="81" t="str">
        <x:v>B10</x:v>
      </x:c>
      <x:c r="B22" s="81" t="str">
        <x:v>OAKT HP单色</x:v>
      </x:c>
      <x:c r="C22" s="81" t="str">
        <x:v>foo2oak -z0 / HP CLJ1500</x:v>
      </x:c>
      <x:c r="D22" s="117" t="n">
        <x:v>85296</x:v>
      </x:c>
      <x:c r="E22" s="81" t="str">
        <x:v>d3c3d92e50fe9155e11d6a302f414e2ddd7979b342e5834726cda0610c7542bc</x:v>
      </x:c>
      <x:c r="F22" s="118" t="n">
        <x:v>1</x:v>
      </x:c>
      <x:c r="G22" s="119"/>
      <x:c r="H22" s="81" t="str">
        <x:v>600×600；解除水平镜像</x:v>
      </x:c>
      <x:c r="I22" s="81" t="str">
        <x:v>通过</x:v>
      </x:c>
      <x:c r="J22" s="81" t="str">
        <x:v>HP方向路径</x:v>
      </x:c>
    </x:row>
    <x:row r="23" ht="48" customHeight="1">
      <x:c r="A23" s="81" t="str">
        <x:v>B10</x:v>
      </x:c>
      <x:c r="B23" s="81" t="str">
        <x:v>OAKT HP彩色</x:v>
      </x:c>
      <x:c r="C23" s="81" t="str">
        <x:v>foo2oak -z0 / HP CLJ1500</x:v>
      </x:c>
      <x:c r="D23" s="117" t="n">
        <x:v>75664</x:v>
      </x:c>
      <x:c r="E23" s="81" t="str">
        <x:v>00cdfd25fe626e86f5e02f0c3087abc2d8bbd631198991e15605ec863cedab54</x:v>
      </x:c>
      <x:c r="F23" s="118" t="n">
        <x:v>1</x:v>
      </x:c>
      <x:c r="G23" s="119"/>
      <x:c r="H23" s="81" t="str">
        <x:v>Y/M/C/K顺序、方向和RGB正确</x:v>
      </x:c>
      <x:c r="I23" s="81" t="str">
        <x:v>通过</x:v>
      </x:c>
      <x:c r="J23" s="81" t="str">
        <x:v>彩色验证</x:v>
      </x:c>
    </x:row>
    <x:row r="24" ht="48" customHeight="1">
      <x:c r="A24" s="81" t="str">
        <x:v>B10</x:v>
      </x:c>
      <x:c r="B24" s="81" t="str">
        <x:v>OAKT Kyocera</x:v>
      </x:c>
      <x:c r="C24" s="81" t="str">
        <x:v>foo2oak -z1 / Kyocera KM-1635</x:v>
      </x:c>
      <x:c r="D24" s="117" t="n">
        <x:v>72016</x:v>
      </x:c>
      <x:c r="E24" s="81" t="str">
        <x:v>3bdae66bcd5f5425185a26b9b2a68f7aef837c7f7cf546bca99a51a635a730c9</x:v>
      </x:c>
      <x:c r="F24" s="118" t="n">
        <x:v>1</x:v>
      </x:c>
      <x:c r="G24" s="119"/>
      <x:c r="H24" s="81" t="str">
        <x:v>600×600；逆时针旋转90度</x:v>
      </x:c>
      <x:c r="I24" s="81" t="str">
        <x:v>通过</x:v>
      </x:c>
      <x:c r="J24" s="81" t="str">
        <x:v>Kyocera方向路径</x:v>
      </x:c>
    </x:row>
    <x:row r="25" ht="48" customHeight="1">
      <x:c r="A25" s="81" t="str">
        <x:v>B14</x:v>
      </x:c>
      <x:c r="B25" s="81" t="str">
        <x:v>ESC/P2 L310 360dpi</x:v>
      </x:c>
      <x:c r="C25" s="81" t="str">
        <x:v>Gutenprint 5.3.4 + EscaPy xp410</x:v>
      </x:c>
      <x:c r="D25" s="117" t="n">
        <x:v>759602</x:v>
      </x:c>
      <x:c r="E25" s="81"/>
      <x:c r="F25" s="118" t="n">
        <x:v>1</x:v>
      </x:c>
      <x:c r="G25" s="119" t="n">
        <x:v>36.6</x:v>
      </x:c>
      <x:c r="H25" s="81" t="str">
        <x:v>A4；C/M/Y顶边对齐</x:v>
      </x:c>
      <x:c r="I25" s="81" t="str">
        <x:v>通过</x:v>
      </x:c>
      <x:c r="J25" s="81" t="str">
        <x:v>完整编码链</x:v>
      </x:c>
    </x:row>
    <x:row r="26" ht="48" customHeight="1">
      <x:c r="A26" s="81" t="str">
        <x:v>B14</x:v>
      </x:c>
      <x:c r="B26" s="81" t="str">
        <x:v>ESC/P2 L310 720dpi</x:v>
      </x:c>
      <x:c r="C26" s="81" t="str">
        <x:v>Gutenprint 5.3.4 + EscaPy xp410</x:v>
      </x:c>
      <x:c r="D26" s="117" t="n">
        <x:v>3258963</x:v>
      </x:c>
      <x:c r="E26" s="81"/>
      <x:c r="F26" s="118" t="n">
        <x:v>1</x:v>
      </x:c>
      <x:c r="G26" s="119" t="n">
        <x:v>129.2</x:v>
      </x:c>
      <x:c r="H26" s="81" t="str">
        <x:v>A4；颜色通道对齐</x:v>
      </x:c>
      <x:c r="I26" s="81" t="str">
        <x:v>通过</x:v>
      </x:c>
      <x:c r="J26" s="81" t="str">
        <x:v>完整编码链</x:v>
      </x:c>
    </x:row>
    <x:row r="27" ht="48" customHeight="1">
      <x:c r="A27" s="81" t="str">
        <x:v>B14</x:v>
      </x:c>
      <x:c r="B27" s="81" t="str">
        <x:v>ESC/P2 L120/ET-2750 360dpi</x:v>
      </x:c>
      <x:c r="C27" s="81" t="str">
        <x:v>Gutenprint 5.3.4 + EscaPy xp410</x:v>
      </x:c>
      <x:c r="D27" s="117" t="n">
        <x:v>759602</x:v>
      </x:c>
      <x:c r="E27" s="81" t="str">
        <x:v>97333ddead787f3f1809b798b72a9fa0014459da654aa7a896ceacd7d22e6807</x:v>
      </x:c>
      <x:c r="F27" s="118" t="n">
        <x:v>1</x:v>
      </x:c>
      <x:c r="G27" s="119" t="n">
        <x:v>36.5</x:v>
      </x:c>
      <x:c r="H27" s="81" t="str">
        <x:v>字节一致；单页A4</x:v>
      </x:c>
      <x:c r="I27" s="81" t="str">
        <x:v>通过</x:v>
      </x:c>
      <x:c r="J27" s="81" t="str">
        <x:v>L120与ET-2750同链</x:v>
      </x:c>
    </x:row>
    <x:row r="28" ht="48" customHeight="1">
      <x:c r="A28" s="81" t="str">
        <x:v>B14</x:v>
      </x:c>
      <x:c r="B28" s="81" t="str">
        <x:v>ESC/P2 Stylus Photo R800</x:v>
      </x:c>
      <x:c r="C28" s="81" t="str">
        <x:v>Gutenprint + EscaPy sr800</x:v>
      </x:c>
      <x:c r="D28" s="117" t="n">
        <x:v>999264</x:v>
      </x:c>
      <x:c r="E28" s="81"/>
      <x:c r="F28" s="118" t="n">
        <x:v>1</x:v>
      </x:c>
      <x:c r="G28" s="119" t="n">
        <x:v>52.8</x:v>
      </x:c>
      <x:c r="H28" s="81" t="str">
        <x:v>文字、边框、C/M/Y/K、RGB及灰阶</x:v>
      </x:c>
      <x:c r="I28" s="81" t="str">
        <x:v>通过</x:v>
      </x:c>
      <x:c r="J28" s="81" t="str">
        <x:v>型号专用Profile</x:v>
      </x:c>
    </x:row>
    <x:row r="29" ht="48" customHeight="1">
      <x:c r="A29" s="81" t="str">
        <x:v>B15</x:v>
      </x:c>
      <x:c r="B29" s="81" t="str">
        <x:v>ESC/P-R官方六PPD COLOR</x:v>
      </x:c>
      <x:c r="C29" s="81" t="str">
        <x:v>printer-driver-escpr 1.7.17</x:v>
      </x:c>
      <x:c r="D29" s="117" t="n">
        <x:v>674259</x:v>
      </x:c>
      <x:c r="E29" s="81" t="str">
        <x:v>dad9673fdbca4b29c7b5ea1f7f8f22a5ea624058c177918f45ad641372cccfd0</x:v>
      </x:c>
      <x:c r="F29" s="118" t="n">
        <x:v>1</x:v>
      </x:c>
      <x:c r="G29" s="119" t="n">
        <x:v>1.55</x:v>
      </x:c>
      <x:c r="H29" s="81" t="str">
        <x:v>文字、色块、灰阶、边框完整</x:v>
      </x:c>
      <x:c r="I29" s="81" t="str">
        <x:v>通过</x:v>
      </x:c>
      <x:c r="J29" s="81" t="str">
        <x:v>六型号同一已验证方言</x:v>
      </x:c>
    </x:row>
    <x:row r="30" ht="48" customHeight="1">
      <x:c r="A30" s="81" t="str">
        <x:v>B15</x:v>
      </x:c>
      <x:c r="B30" s="81" t="str">
        <x:v>ESC/P-R L3250 MONO</x:v>
      </x:c>
      <x:c r="C30" s="81" t="str">
        <x:v>官方CUPS完整wrapper链</x:v>
      </x:c>
      <x:c r="D30" s="117" t="n">
        <x:v>674259</x:v>
      </x:c>
      <x:c r="E30" s="81" t="str">
        <x:v>9205cb311125a40b799702f1ffab28aa74347a27dfbc064f9b17be3561c4fdd4</x:v>
      </x:c>
      <x:c r="F30" s="118" t="n">
        <x:v>1</x:v>
      </x:c>
      <x:c r="G30" s="119" t="n">
        <x:v>1.55</x:v>
      </x:c>
      <x:c r="H30" s="81" t="str">
        <x:v>单色页面内容正确；载荷仍为RGB</x:v>
      </x:c>
      <x:c r="I30" s="81" t="str">
        <x:v>通过</x:v>
      </x:c>
      <x:c r="J30" s="81" t="str">
        <x:v>3,777条RLE dsnd</x:v>
      </x:c>
    </x:row>
    <x:row r="31" ht="48" customHeight="1">
      <x:c r="A31" s="81" t="str">
        <x:v>B15</x:v>
      </x:c>
      <x:c r="B31" s="81" t="str">
        <x:v>ESC/P-R L3250双页COLOR</x:v>
      </x:c>
      <x:c r="C31" s="81" t="str">
        <x:v>官方CUPS完整wrapper链</x:v>
      </x:c>
      <x:c r="D31" s="117" t="n">
        <x:v>1014998</x:v>
      </x:c>
      <x:c r="E31" s="81" t="str">
        <x:v>65a2c4e74fba7590ec1c5669ad9fd5004f7e5fa61939db5914faaad885e88bc7</x:v>
      </x:c>
      <x:c r="F31" s="118" t="n">
        <x:v>2</x:v>
      </x:c>
      <x:c r="G31" s="119" t="n">
        <x:v>2.63</x:v>
      </x:c>
      <x:c r="H31" s="81" t="str">
        <x:v>两页顺序、页码和第二页标记正确</x:v>
      </x:c>
      <x:c r="I31" s="81" t="str">
        <x:v>通过</x:v>
      </x:c>
      <x:c r="J31" s="81" t="str">
        <x:v>7,408条RLE dsnd</x:v>
      </x:c>
    </x:row>
    <x:row r="32" ht="48" customHeight="1">
      <x:c r="A32" s="83" t="str">
        <x:v>C01</x:v>
      </x:c>
      <x:c r="B32" s="83" t="str">
        <x:v>PCL3GUI否定性验证</x:v>
      </x:c>
      <x:c r="C32" s="83" t="str">
        <x:v>HPLIP 3.23.12 hpcups / DeskJet 2130</x:v>
      </x:c>
      <x:c r="D32" s="120" t="n">
        <x:v>174089</x:v>
      </x:c>
      <x:c r="E32" s="83" t="str">
        <x:v>2f487d7f734a2b867537446358a5681a650bab572ec1eec60a868fc51367d924</x:v>
      </x:c>
      <x:c r="F32" s="121" t="n">
        <x:v>1</x:v>
      </x:c>
      <x:c r="G32" s="122" t="n">
        <x:v>0.25</x:v>
      </x:c>
      <x:c r="H32" s="83" t="str">
        <x:v>GhostPCL输出破碎黑块、拖影和大量空白</x:v>
      </x:c>
      <x:c r="I32" s="83" t="str">
        <x:v>否定</x:v>
      </x:c>
      <x:c r="J32" s="83" t="str">
        <x:v>成功退出和正确页数不代表可用</x:v>
      </x:c>
    </x:row>
  </x:sheetData>
  <x:mergeCells>
    <x:mergeCell ref="A1:J1"/>
    <x:mergeCell ref="A2:J2"/>
  </x:mergeCells>
  <x:conditionalFormatting sqref="I6:I32">
    <x:cfRule type="containsText" dxfId="12" priority="1" operator="containsText" text="通过"/>
    <x:cfRule type="containsText" dxfId="13" priority="2" operator="containsText" text="否定"/>
  </x:conditionalFormatting>
  <x:pageMargins left="0.7" right="0.7" top="0.75" bottom="0.75" header="0.3" footer="0.3"/>
  <x:tableParts count="1">
    <x:tablePart xmlns:r="http://schemas.openxmlformats.org/officeDocument/2006/relationships" r:id="R0089aa91e95940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50" hidden="0" customWidth="1"/>
    <x:col min="4" max="4" width="36" hidden="0" customWidth="1"/>
    <x:col min="5" max="5" width="18" hidden="0" customWidth="1"/>
    <x:col min="6" max="6" width="15" hidden="0" customWidth="1"/>
    <x:col min="7" max="7" width="28" hidden="0" customWidth="1"/>
    <x:col min="8" max="8" width="48" hidden="0" customWidth="1"/>
  </x:cols>
  <x:sheetData>
    <x:row r="1" ht="34" customHeight="1">
      <x:c r="A1" s="74" t="str">
        <x:v>板端软件依赖、安装位置与授权状态</x:v>
      </x:c>
      <x:c r="B1" s="74" t="str">
        <x:v>板端软件依赖、安装位置与授权状态</x:v>
      </x:c>
      <x:c r="C1" s="74" t="str">
        <x:v>板端软件依赖、安装位置与授权状态</x:v>
      </x:c>
      <x:c r="D1" s="74" t="str">
        <x:v>板端软件依赖、安装位置与授权状态</x:v>
      </x:c>
      <x:c r="E1" s="74" t="str">
        <x:v>板端软件依赖、安装位置与授权状态</x:v>
      </x:c>
      <x:c r="F1" s="74" t="str">
        <x:v>板端软件依赖、安装位置与授权状态</x:v>
      </x:c>
      <x:c r="G1" s="74" t="str">
        <x:v>板端软件依赖、安装位置与授权状态</x:v>
      </x:c>
      <x:c r="H1" s="74" t="str">
        <x:v>板端软件依赖、安装位置与授权状态</x:v>
      </x:c>
    </x:row>
    <x:row r="2" ht="30" customHeight="1">
      <x:c r="A2" s="75" t="str">
        <x:v>版本和路径来自2026-08-21 K2B实板；当前阶段为研发内部测试，不等同于量产分发授权结论。</x:v>
      </x:c>
      <x:c r="B2" s="75" t="str">
        <x:v>版本和路径来自2026-08-21 K2B实板；当前阶段为研发内部测试，不等同于量产分发授权结论。</x:v>
      </x:c>
      <x:c r="C2" s="75" t="str">
        <x:v>版本和路径来自2026-08-21 K2B实板；当前阶段为研发内部测试，不等同于量产分发授权结论。</x:v>
      </x:c>
      <x:c r="D2" s="75" t="str">
        <x:v>版本和路径来自2026-08-21 K2B实板；当前阶段为研发内部测试，不等同于量产分发授权结论。</x:v>
      </x:c>
      <x:c r="E2" s="75" t="str">
        <x:v>版本和路径来自2026-08-21 K2B实板；当前阶段为研发内部测试，不等同于量产分发授权结论。</x:v>
      </x:c>
      <x:c r="F2" s="75" t="str">
        <x:v>版本和路径来自2026-08-21 K2B实板；当前阶段为研发内部测试，不等同于量产分发授权结论。</x:v>
      </x:c>
      <x:c r="G2" s="75" t="str">
        <x:v>版本和路径来自2026-08-21 K2B实板；当前阶段为研发内部测试，不等同于量产分发授权结论。</x:v>
      </x:c>
      <x:c r="H2" s="75" t="str">
        <x:v>版本和路径来自2026-08-21 K2B实板；当前阶段为研发内部测试，不等同于量产分发授权结论。</x:v>
      </x:c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76"/>
      <x:c r="B4" s="76"/>
      <x:c r="C4" s="76"/>
      <x:c r="D4" s="76"/>
      <x:c r="E4" s="76"/>
      <x:c r="F4" s="76"/>
      <x:c r="G4" s="76"/>
      <x:c r="H4" s="76"/>
    </x:row>
    <x:row r="5" ht="34" customHeight="1">
      <x:c r="A5" s="77" t="str">
        <x:v>组件</x:v>
      </x:c>
      <x:c r="B5" s="77" t="str">
        <x:v>版本</x:v>
      </x:c>
      <x:c r="C5" s="77" t="str">
        <x:v>板端路径</x:v>
      </x:c>
      <x:c r="D5" s="77" t="str">
        <x:v>作用</x:v>
      </x:c>
      <x:c r="E5" s="77" t="str">
        <x:v>覆盖编号</x:v>
      </x:c>
      <x:c r="F5" s="77" t="str">
        <x:v>实板状态</x:v>
      </x:c>
      <x:c r="G5" s="77" t="str">
        <x:v>许可/来源</x:v>
      </x:c>
      <x:c r="H5" s="77" t="str">
        <x:v>部署与量产说明</x:v>
      </x:c>
    </x:row>
    <x:row r="6" ht="54" customHeight="1">
      <x:c r="A6" s="79" t="str">
        <x:v>网关应用</x:v>
      </x:c>
      <x:c r="B6" s="79" t="str">
        <x:v>0.81.0</x:v>
      </x:c>
      <x:c r="C6" s="79" t="str">
        <x:v>/opt/jvlei/releases/gateway/0.81.0（发布目标）</x:v>
      </x:c>
      <x:c r="D6" s="79" t="str">
        <x:v>协议识别、任务捕获、转换编排、网页</x:v>
      </x:c>
      <x:c r="E6" s="79" t="str">
        <x:v>全部</x:v>
      </x:c>
      <x:c r="F6" s="79" t="str">
        <x:v>待发布</x:v>
      </x:c>
      <x:c r="G6" s="79" t="str">
        <x:v>项目代码</x:v>
      </x:c>
      <x:c r="H6" s="79" t="str">
        <x:v>研发升级包内置；当前实板仍为0.80.4</x:v>
      </x:c>
    </x:row>
    <x:row r="7" ht="54" customHeight="1">
      <x:c r="A7" s="81" t="str">
        <x:v>Python</x:v>
      </x:c>
      <x:c r="B7" s="81" t="str">
        <x:v>3.12.3</x:v>
      </x:c>
      <x:c r="C7" s="81" t="str">
        <x:v>/usr/bin/python3</x:v>
      </x:c>
      <x:c r="D7" s="81" t="str">
        <x:v>应用运行时</x:v>
      </x:c>
      <x:c r="E7" s="81" t="str">
        <x:v>全部</x:v>
      </x:c>
      <x:c r="F7" s="81" t="str">
        <x:v>已安装</x:v>
      </x:c>
      <x:c r="G7" s="81" t="str">
        <x:v>Python许可</x:v>
      </x:c>
      <x:c r="H7" s="81" t="str">
        <x:v>系统组件</x:v>
      </x:c>
    </x:row>
    <x:row r="8" ht="54" customHeight="1">
      <x:c r="A8" s="81" t="str">
        <x:v>Ghostscript</x:v>
      </x:c>
      <x:c r="B8" s="81" t="str">
        <x:v>10.02.1</x:v>
      </x:c>
      <x:c r="C8" s="81" t="str">
        <x:v>/usr/bin/ps2pdf</x:v>
      </x:c>
      <x:c r="D8" s="81" t="str">
        <x:v>PostScript/EPS转PDF</x:v>
      </x:c>
      <x:c r="E8" s="81" t="str">
        <x:v>A02</x:v>
      </x:c>
      <x:c r="F8" s="81" t="str">
        <x:v>已安装</x:v>
      </x:c>
      <x:c r="G8" s="81" t="str">
        <x:v>AGPL</x:v>
      </x:c>
      <x:c r="H8" s="81" t="str">
        <x:v>研发内部使用；量产需评估合规</x:v>
      </x:c>
    </x:row>
    <x:row r="9" ht="54" customHeight="1">
      <x:c r="A9" s="81" t="str">
        <x:v>GhostPDL / GhostPCL</x:v>
      </x:c>
      <x:c r="B9" s="81" t="str">
        <x:v>10.07.1</x:v>
      </x:c>
      <x:c r="C9" s="81" t="str">
        <x:v>/usr/local/bin/gpcl6</x:v>
      </x:c>
      <x:c r="D9" s="81" t="str">
        <x:v>PCL/PCL XL/HP-GL转PDF</x:v>
      </x:c>
      <x:c r="E9" s="81" t="str">
        <x:v>A03-A05</x:v>
      </x:c>
      <x:c r="F9" s="81" t="str">
        <x:v>已安装</x:v>
      </x:c>
      <x:c r="G9" s="81" t="str">
        <x:v>GNU AGPL</x:v>
      </x:c>
      <x:c r="H9" s="81" t="str">
        <x:v>仅当前K2B研发板内部测试</x:v>
      </x:c>
    </x:row>
    <x:row r="10" ht="54" customHeight="1">
      <x:c r="A10" s="81" t="str">
        <x:v>libgxps-utils</x:v>
      </x:c>
      <x:c r="B10" s="81" t="str">
        <x:v>0.3.2-4build3</x:v>
      </x:c>
      <x:c r="C10" s="81" t="str">
        <x:v>/usr/bin/xpstopdf</x:v>
      </x:c>
      <x:c r="D10" s="81" t="str">
        <x:v>XPS/OpenXPS转PDF</x:v>
      </x:c>
      <x:c r="E10" s="81" t="str">
        <x:v>A06</x:v>
      </x:c>
      <x:c r="F10" s="81" t="str">
        <x:v>已安装</x:v>
      </x:c>
      <x:c r="G10" s="81" t="str">
        <x:v>LGPL</x:v>
      </x:c>
      <x:c r="H10" s="81" t="str">
        <x:v>Ubuntu Noble系统包</x:v>
      </x:c>
    </x:row>
    <x:row r="11" ht="54" customHeight="1">
      <x:c r="A11" s="81" t="str">
        <x:v>CUPS</x:v>
      </x:c>
      <x:c r="B11" s="81" t="str">
        <x:v>2.4.7-1.2ubuntu7.14</x:v>
      </x:c>
      <x:c r="C11" s="81" t="str">
        <x:v>/usr/lib/cups/filter/pwgtopdf</x:v>
      </x:c>
      <x:c r="D11" s="81" t="str">
        <x:v>PWG/CUPS Raster/URF转PDF与打印链</x:v>
      </x:c>
      <x:c r="E11" s="81" t="str">
        <x:v>A07/A08/A10</x:v>
      </x:c>
      <x:c r="F11" s="81" t="str">
        <x:v>已安装</x:v>
      </x:c>
      <x:c r="G11" s="81" t="str">
        <x:v>Apache/GPL混合组件</x:v>
      </x:c>
      <x:c r="H11" s="81" t="str">
        <x:v>使用系统包</x:v>
      </x:c>
    </x:row>
    <x:row r="12" ht="54" customHeight="1">
      <x:c r="A12" s="81" t="str">
        <x:v>Pillow</x:v>
      </x:c>
      <x:c r="B12" s="81" t="str">
        <x:v>随研发运行环境</x:v>
      </x:c>
      <x:c r="C12" s="81" t="str">
        <x:v>Python site-packages</x:v>
      </x:c>
      <x:c r="D12" s="81" t="str">
        <x:v>图像、多页图像、解码页合成PDF</x:v>
      </x:c>
      <x:c r="E12" s="81" t="str">
        <x:v>A11-A14及B组</x:v>
      </x:c>
      <x:c r="F12" s="81" t="str">
        <x:v>已安装</x:v>
      </x:c>
      <x:c r="G12" s="81" t="str">
        <x:v>HPND</x:v>
      </x:c>
      <x:c r="H12" s="81" t="str">
        <x:v>受像素和页数上限保护</x:v>
      </x:c>
    </x:row>
    <x:row r="13" ht="54" customHeight="1">
      <x:c r="A13" s="81" t="str">
        <x:v>EscaPy</x:v>
      </x:c>
      <x:c r="B13" s="81" t="str">
        <x:v>1.1.0</x:v>
      </x:c>
      <x:c r="C13" s="81" t="str">
        <x:v>/opt/jvlei/escapy/1.1.0；/usr/local/bin/escapy</x:v>
      </x:c>
      <x:c r="D13" s="81" t="str">
        <x:v>ESC/P、ESC/P2解析</x:v>
      </x:c>
      <x:c r="E13" s="81" t="str">
        <x:v>B13/B14</x:v>
      </x:c>
      <x:c r="F13" s="81" t="str">
        <x:v>已安装</x:v>
      </x:c>
      <x:c r="G13" s="81" t="str">
        <x:v>GNU AGPL</x:v>
      </x:c>
      <x:c r="H13" s="81" t="str">
        <x:v>仅当前K2B研发板内部测试；包内含离线依赖锁和安装器</x:v>
      </x:c>
    </x:row>
    <x:row r="14" ht="54" customHeight="1">
      <x:c r="A14" s="81" t="str">
        <x:v>printer-driver-gutenprint</x:v>
      </x:c>
      <x:c r="B14" s="81" t="str">
        <x:v>5.3.4.20220624T01008808d602-1build4</x:v>
      </x:c>
      <x:c r="C14" s="81" t="str">
        <x:v>Ubuntu PPD/filter数据库</x:v>
      </x:c>
      <x:c r="D14" s="81" t="str">
        <x:v>产生ESC/P2验证流</x:v>
      </x:c>
      <x:c r="E14" s="81" t="str">
        <x:v>B14验证</x:v>
      </x:c>
      <x:c r="F14" s="81" t="str">
        <x:v>已安装</x:v>
      </x:c>
      <x:c r="G14" s="81" t="str">
        <x:v>GPL</x:v>
      </x:c>
      <x:c r="H14" s="81" t="str">
        <x:v>用于研发编码链，不是网关运行时必需</x:v>
      </x:c>
    </x:row>
    <x:row r="15" ht="54" customHeight="1">
      <x:c r="A15" s="81" t="str">
        <x:v>printer-driver-escpr</x:v>
      </x:c>
      <x:c r="B15" s="81" t="str">
        <x:v>1.7.17-4build2</x:v>
      </x:c>
      <x:c r="C15" s="81" t="str">
        <x:v>Ubuntu PPD/filter数据库</x:v>
      </x:c>
      <x:c r="D15" s="81" t="str">
        <x:v>产生官方ESC/P-R验证流</x:v>
      </x:c>
      <x:c r="E15" s="81" t="str">
        <x:v>B15验证</x:v>
      </x:c>
      <x:c r="F15" s="81" t="str">
        <x:v>已安装</x:v>
      </x:c>
      <x:c r="G15" s="81" t="str">
        <x:v>GPL</x:v>
      </x:c>
      <x:c r="H15" s="81" t="str">
        <x:v>用于研发编码验证；网关转换使用内置解码器</x:v>
      </x:c>
    </x:row>
    <x:row r="16" ht="54" customHeight="1">
      <x:c r="A16" s="81" t="str">
        <x:v>foo2zjs解码器组</x:v>
      </x:c>
      <x:c r="B16" s="81" t="str">
        <x:v>Ubuntu Noble组件/隔离构建</x:v>
      </x:c>
      <x:c r="C16" s="81" t="str">
        <x:v>/usr/bin/*decode及/usr/local/libexec/jvlei-prn-decoders</x:v>
      </x:c>
      <x:c r="D16" s="81" t="str">
        <x:v>私有栅格解码</x:v>
      </x:c>
      <x:c r="E16" s="81" t="str">
        <x:v>B01-B10</x:v>
      </x:c>
      <x:c r="F16" s="81" t="str">
        <x:v>已安装</x:v>
      </x:c>
      <x:c r="G16" s="81" t="str">
        <x:v>GPL类，按各组件许可</x:v>
      </x:c>
      <x:c r="H16" s="81" t="str">
        <x:v>只允许固定白名单命令</x:v>
      </x:c>
    </x:row>
    <x:row r="17" ht="54" customHeight="1">
      <x:c r="A17" s="81" t="str">
        <x:v>brdecode</x:v>
      </x:c>
      <x:c r="B17" s="81" t="str">
        <x:v>隔离ARM64构建</x:v>
      </x:c>
      <x:c r="C17" s="81" t="str">
        <x:v>/usr/local/libexec/jvlei-prn-decoders/brdecode</x:v>
      </x:c>
      <x:c r="D17" s="81" t="str">
        <x:v>Brother HBP/XL2HB解码</x:v>
      </x:c>
      <x:c r="E17" s="81" t="str">
        <x:v>B11</x:v>
      </x:c>
      <x:c r="F17" s="81" t="str">
        <x:v>已安装</x:v>
      </x:c>
      <x:c r="G17" s="81" t="str">
        <x:v>源组件许可随包</x:v>
      </x:c>
      <x:c r="H17" s="81" t="str">
        <x:v>随研发包离线部署</x:v>
      </x:c>
    </x:row>
    <x:row r="18" ht="54" customHeight="1">
      <x:c r="A18" s="81" t="str">
        <x:v>内置ESC/P-R解码器</x:v>
      </x:c>
      <x:c r="B18" s="81" t="str">
        <x:v>0.81.0</x:v>
      </x:c>
      <x:c r="C18" s="81" t="str">
        <x:v>/opt/gadget-msc-printer/src/gadget_msc_printer/escpr.py</x:v>
      </x:c>
      <x:c r="D18" s="81" t="str">
        <x:v>受限RGB未压缩/RLE解码</x:v>
      </x:c>
      <x:c r="E18" s="81" t="str">
        <x:v>B15</x:v>
      </x:c>
      <x:c r="F18" s="81" t="str">
        <x:v>已启用</x:v>
      </x:c>
      <x:c r="G18" s="81" t="str">
        <x:v>项目代码</x:v>
      </x:c>
      <x:c r="H18" s="81" t="str">
        <x:v>未知扩展失败时保留PRN，不猜测转换</x:v>
      </x:c>
    </x:row>
    <x:row r="19" ht="54" customHeight="1">
      <x:c r="A19" s="83" t="str">
        <x:v>协议边界解析器</x:v>
      </x:c>
      <x:c r="B19" s="83" t="str">
        <x:v>0.81.0</x:v>
      </x:c>
      <x:c r="C19" s="83" t="str">
        <x:v>/opt/gadget-msc-printer/src/gadget_msc_printer/print_boundary.py</x:v>
      </x:c>
      <x:c r="D19" s="83" t="str">
        <x:v>协议结束标志优先、空闲超时兜底</x:v>
      </x:c>
      <x:c r="E19" s="83" t="str">
        <x:v>全部</x:v>
      </x:c>
      <x:c r="F19" s="83" t="str">
        <x:v>已启用</x:v>
      </x:c>
      <x:c r="G19" s="83" t="str">
        <x:v>项目代码</x:v>
      </x:c>
      <x:c r="H19" s="83" t="str">
        <x:v>ESC/P-R endj可立即结束</x:v>
      </x:c>
    </x:row>
  </x:sheetData>
  <x:mergeCells>
    <x:mergeCell ref="A1:H1"/>
    <x:mergeCell ref="A2:H2"/>
  </x:mergeCells>
  <x:conditionalFormatting sqref="F6:F19">
    <x:cfRule type="containsText" dxfId="14" priority="1" operator="containsText" text="已"/>
  </x:conditionalFormatting>
  <x:conditionalFormatting sqref="G6:G19">
    <x:cfRule type="containsText" dxfId="15" priority="2" operator="containsText" text="AGPL"/>
  </x:conditionalFormatting>
  <x:pageMargins left="0.7" right="0.7" top="0.75" bottom="0.75" header="0.3" footer="0.3"/>
  <x:tableParts count="1">
    <x:tablePart xmlns:r="http://schemas.openxmlformats.org/officeDocument/2006/relationships" r:id="Rf48bb7147e6040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35" hidden="0" customWidth="1"/>
    <x:col min="5" max="5" width="14" hidden="0" customWidth="1"/>
    <x:col min="6" max="6" width="52" hidden="0" customWidth="1"/>
  </x:cols>
  <x:sheetData>
    <x:row r="1" ht="34" customHeight="1">
      <x:c r="A1" s="74" t="str">
        <x:v>现场打印驱动选择与异常处理顺序</x:v>
      </x:c>
      <x:c r="B1" s="74" t="str">
        <x:v>现场打印驱动选择与异常处理顺序</x:v>
      </x:c>
      <x:c r="C1" s="74" t="str">
        <x:v>现场打印驱动选择与异常处理顺序</x:v>
      </x:c>
      <x:c r="D1" s="74" t="str">
        <x:v>现场打印驱动选择与异常处理顺序</x:v>
      </x:c>
      <x:c r="E1" s="74" t="str">
        <x:v>现场打印驱动选择与异常处理顺序</x:v>
      </x:c>
      <x:c r="F1" s="74" t="str">
        <x:v>现场打印驱动选择与异常处理顺序</x:v>
      </x:c>
    </x:row>
    <x:row r="2" ht="30" customHeight="1">
      <x:c r="A2" s="75" t="str">
        <x:v>用于实施人员首次部署、换打印机或遇到未知PRN时快速决策；所有路径都应保留原始PRN用于追溯。</x:v>
      </x:c>
      <x:c r="B2" s="75" t="str">
        <x:v>用于实施人员首次部署、换打印机或遇到未知PRN时快速决策；所有路径都应保留原始PRN用于追溯。</x:v>
      </x:c>
      <x:c r="C2" s="75" t="str">
        <x:v>用于实施人员首次部署、换打印机或遇到未知PRN时快速决策；所有路径都应保留原始PRN用于追溯。</x:v>
      </x:c>
      <x:c r="D2" s="75" t="str">
        <x:v>用于实施人员首次部署、换打印机或遇到未知PRN时快速决策；所有路径都应保留原始PRN用于追溯。</x:v>
      </x:c>
      <x:c r="E2" s="75" t="str">
        <x:v>用于实施人员首次部署、换打印机或遇到未知PRN时快速决策；所有路径都应保留原始PRN用于追溯。</x:v>
      </x:c>
      <x:c r="F2" s="75" t="str">
        <x:v>用于实施人员首次部署、换打印机或遇到未知PRN时快速决策；所有路径都应保留原始PRN用于追溯。</x:v>
      </x:c>
    </x:row>
    <x:row r="3">
      <x:c r="A3" s="76"/>
      <x:c r="B3" s="76"/>
      <x:c r="C3" s="76"/>
      <x:c r="D3" s="76"/>
      <x:c r="E3" s="76"/>
      <x:c r="F3" s="76"/>
    </x:row>
    <x:row r="4">
      <x:c r="A4" s="76"/>
      <x:c r="B4" s="76"/>
      <x:c r="C4" s="76"/>
      <x:c r="D4" s="76"/>
      <x:c r="E4" s="76"/>
      <x:c r="F4" s="76"/>
    </x:row>
    <x:row r="5" ht="34" customHeight="1">
      <x:c r="A5" s="77" t="str">
        <x:v>顺序</x:v>
      </x:c>
      <x:c r="B5" s="77" t="str">
        <x:v>现场条件</x:v>
      </x:c>
      <x:c r="C5" s="77" t="str">
        <x:v>推荐动作</x:v>
      </x:c>
      <x:c r="D5" s="77" t="str">
        <x:v>板端处理</x:v>
      </x:c>
      <x:c r="E5" s="77" t="str">
        <x:v>风险</x:v>
      </x:c>
      <x:c r="F5" s="77" t="str">
        <x:v>验收/失败处理</x:v>
      </x:c>
    </x:row>
    <x:row r="6" ht="58" customHeight="1">
      <x:c r="A6" s="132" t="n">
        <x:v>1</x:v>
      </x:c>
      <x:c r="B6" s="79" t="str">
        <x:v>打印机支持标准PCL6/PCL XL</x:v>
      </x:c>
      <x:c r="C6" s="79" t="str">
        <x:v>选择厂商或通用PCL6驱动</x:v>
      </x:c>
      <x:c r="D6" s="79" t="str">
        <x:v>A04 GhostPCL转换</x:v>
      </x:c>
      <x:c r="E6" s="79" t="str">
        <x:v>低</x:v>
      </x:c>
      <x:c r="F6" s="79" t="str">
        <x:v>首选；先打印测试页确认协议</x:v>
      </x:c>
    </x:row>
    <x:row r="7" ht="58" customHeight="1">
      <x:c r="A7" s="133" t="n">
        <x:v>2</x:v>
      </x:c>
      <x:c r="B7" s="81" t="str">
        <x:v>不支持PCL6但支持PostScript/BR-Script</x:v>
      </x:c>
      <x:c r="C7" s="81" t="str">
        <x:v>选择PostScript驱动</x:v>
      </x:c>
      <x:c r="D7" s="81" t="str">
        <x:v>A02 Ghostscript转换</x:v>
      </x:c>
      <x:c r="E7" s="81" t="str">
        <x:v>低</x:v>
      </x:c>
      <x:c r="F7" s="81" t="str">
        <x:v>检查字体和页面方向</x:v>
      </x:c>
    </x:row>
    <x:row r="8" ht="58" customHeight="1">
      <x:c r="A8" s="133" t="n">
        <x:v>3</x:v>
      </x:c>
      <x:c r="B8" s="81" t="str">
        <x:v>支持PCL5但不支持PCL6/PS</x:v>
      </x:c>
      <x:c r="C8" s="81" t="str">
        <x:v>选择PCL5e/PCL5c</x:v>
      </x:c>
      <x:c r="D8" s="81" t="str">
        <x:v>A03 GhostPCL转换</x:v>
      </x:c>
      <x:c r="E8" s="81" t="str">
        <x:v>低中</x:v>
      </x:c>
      <x:c r="F8" s="81" t="str">
        <x:v>适用于旧款激光机</x:v>
      </x:c>
    </x:row>
    <x:row r="9" ht="58" customHeight="1">
      <x:c r="A9" s="133" t="n">
        <x:v>4</x:v>
      </x:c>
      <x:c r="B9" s="81" t="str">
        <x:v>支持driverless/IPP Everywhere/AirPrint</x:v>
      </x:c>
      <x:c r="C9" s="81" t="str">
        <x:v>选择PWG Raster、PCLm、URF或PDF直传</x:v>
      </x:c>
      <x:c r="D9" s="81" t="str">
        <x:v>A07/A09/A10转换</x:v>
      </x:c>
      <x:c r="E9" s="81" t="str">
        <x:v>低</x:v>
      </x:c>
      <x:c r="F9" s="81" t="str">
        <x:v>确认操作系统实际协商格式</x:v>
      </x:c>
    </x:row>
    <x:row r="10" ht="58" customHeight="1">
      <x:c r="A10" s="133" t="n">
        <x:v>5</x:v>
      </x:c>
      <x:c r="B10" s="81" t="str">
        <x:v>型号落入B01-B11私有栅格且无标准驱动</x:v>
      </x:c>
      <x:c r="C10" s="81" t="str">
        <x:v>使用对应原厂/开源驱动</x:v>
      </x:c>
      <x:c r="D10" s="81" t="str">
        <x:v>白名单解码器转PDF</x:v>
      </x:c>
      <x:c r="E10" s="81" t="str">
        <x:v>中</x:v>
      </x:c>
      <x:c r="F10" s="81" t="str">
        <x:v>现场留存一份PRN和转换PDF做比对</x:v>
      </x:c>
    </x:row>
    <x:row r="11" ht="58" customHeight="1">
      <x:c r="A11" s="133" t="n">
        <x:v>6</x:v>
      </x:c>
      <x:c r="B11" s="81" t="str">
        <x:v>Epson经典点阵机</x:v>
      </x:c>
      <x:c r="C11" s="81" t="str">
        <x:v>ESC/P 9针或24针</x:v>
      </x:c>
      <x:c r="D11" s="81" t="str">
        <x:v>B13 EscaPy</x:v>
      </x:c>
      <x:c r="E11" s="81" t="str">
        <x:v>中高</x:v>
      </x:c>
      <x:c r="F11" s="81" t="str">
        <x:v>仅研发板；确认针数与页面</x:v>
      </x:c>
    </x:row>
    <x:row r="12" ht="58" customHeight="1">
      <x:c r="A12" s="133" t="n">
        <x:v>7</x:v>
      </x:c>
      <x:c r="B12" s="81" t="str">
        <x:v>Epson喷墨机使用Gutenprint ESC/P2</x:v>
      </x:c>
      <x:c r="C12" s="81" t="str">
        <x:v>根据指纹自动选择xp410/sr800</x:v>
      </x:c>
      <x:c r="D12" s="81" t="str">
        <x:v>B14 EscaPy + Profile</x:v>
      </x:c>
      <x:c r="E12" s="81" t="str">
        <x:v>高</x:v>
      </x:c>
      <x:c r="F12" s="81" t="str">
        <x:v>Profile未匹配时不强制转换</x:v>
      </x:c>
    </x:row>
    <x:row r="13" ht="58" customHeight="1">
      <x:c r="A13" s="133" t="n">
        <x:v>8</x:v>
      </x:c>
      <x:c r="B13" s="81" t="str">
        <x:v>Epson型号提供官方ESC/P-R驱动</x:v>
      </x:c>
      <x:c r="C13" s="81" t="str">
        <x:v>优先官方escpr路径</x:v>
      </x:c>
      <x:c r="D13" s="81" t="str">
        <x:v>B15内置解码器</x:v>
      </x:c>
      <x:c r="E13" s="81" t="str">
        <x:v>中</x:v>
      </x:c>
      <x:c r="F13" s="81" t="str">
        <x:v>仅已验证RGB/RLE方言；扩展流保留</x:v>
      </x:c>
    </x:row>
    <x:row r="14" ht="58" customHeight="1">
      <x:c r="A14" s="133" t="n">
        <x:v>9</x:v>
      </x:c>
      <x:c r="B14" s="81" t="str">
        <x:v>实际流属于C01-C11</x:v>
      </x:c>
      <x:c r="C14" s="81" t="str">
        <x:v>不要生成占位PDF</x:v>
      </x:c>
      <x:c r="D14" s="81" t="str">
        <x:v>识别、保留、下载PRN</x:v>
      </x:c>
      <x:c r="E14" s="81" t="str">
        <x:v>高</x:v>
      </x:c>
      <x:c r="F14" s="81" t="str">
        <x:v>优先更换为标准PCL/PS驱动；否则提交样本分析</x:v>
      </x:c>
    </x:row>
    <x:row r="15" ht="58" customHeight="1">
      <x:c r="A15" s="133" t="n">
        <x:v>10</x:v>
      </x:c>
      <x:c r="B15" s="81" t="str">
        <x:v>同一型号同时提供多种驱动</x:v>
      </x:c>
      <x:c r="C15" s="81" t="str">
        <x:v>按PCL6 &gt; PS &gt; PCL5 &gt; 已验证私有流排序</x:v>
      </x:c>
      <x:c r="D15" s="81" t="str">
        <x:v>取决于实际PRN</x:v>
      </x:c>
      <x:c r="E15" s="81" t="str">
        <x:v>中</x:v>
      </x:c>
      <x:c r="F15" s="81" t="str">
        <x:v>打印机型号不能单独证明兼容</x:v>
      </x:c>
    </x:row>
    <x:row r="16" ht="58" customHeight="1">
      <x:c r="A16" s="133" t="n">
        <x:v>11</x:v>
      </x:c>
      <x:c r="B16" s="81" t="str">
        <x:v>转换器退出码为0且PDF可打开</x:v>
      </x:c>
      <x:c r="C16" s="81" t="str">
        <x:v>仍需检查页面内容</x:v>
      </x:c>
      <x:c r="D16" s="81" t="str">
        <x:v>逐页渲染对比</x:v>
      </x:c>
      <x:c r="E16" s="81" t="str">
        <x:v>高</x:v>
      </x:c>
      <x:c r="F16" s="81" t="str">
        <x:v>页数正确也可能是破损页面，PCL3GUI已有反例</x:v>
      </x:c>
    </x:row>
    <x:row r="17" ht="58" customHeight="1">
      <x:c r="A17" s="134" t="n">
        <x:v>12</x:v>
      </x:c>
      <x:c r="B17" s="83" t="str">
        <x:v>未知协议或解析异常</x:v>
      </x:c>
      <x:c r="C17" s="83" t="str">
        <x:v>保持现场空闲超时</x:v>
      </x:c>
      <x:c r="D17" s="83" t="str">
        <x:v>保留PRN和完整错误</x:v>
      </x:c>
      <x:c r="E17" s="83" t="str">
        <x:v>中</x:v>
      </x:c>
      <x:c r="F17" s="83" t="str">
        <x:v>不得删除原始数据或上传空白PDF</x:v>
      </x:c>
    </x:row>
  </x:sheetData>
  <x:mergeCells>
    <x:mergeCell ref="A1:F1"/>
    <x:mergeCell ref="A2:F2"/>
  </x:mergeCells>
  <x:conditionalFormatting sqref="E6:E17">
    <x:cfRule type="containsText" dxfId="16" priority="1" operator="containsText" text="高"/>
    <x:cfRule type="containsText" dxfId="17" priority="2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d2aa9e7349d84492"/>
  </x:tableParts>
</x:worksheet>
</file>